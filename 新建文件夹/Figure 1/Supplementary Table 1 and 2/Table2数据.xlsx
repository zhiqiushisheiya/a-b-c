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6"/>
  </bookViews>
  <sheets>
    <sheet name="Table2数据" sheetId="1" r:id="rId1"/>
    <sheet name="Incidence" sheetId="2" r:id="rId2"/>
    <sheet name="Prevalence" sheetId="3" r:id="rId3"/>
    <sheet name="Deaths" sheetId="4" r:id="rId4"/>
    <sheet name="DALYs" sheetId="5" r:id="rId5"/>
    <sheet name="性别" sheetId="7" r:id="rId6"/>
    <sheet name="汇总" sheetId="6" r:id="rId7"/>
  </sheets>
  <definedNames>
    <definedName name="_xlnm._FilterDatabase" localSheetId="0" hidden="1">Table2数据!$A$1:$U$313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<sst xmlns="http://schemas.openxmlformats.org/spreadsheetml/2006/main" count="4327" uniqueCount="1142">
  <si>
    <t>measure</t>
  </si>
  <si>
    <t>location</t>
  </si>
  <si>
    <t>sex</t>
  </si>
  <si>
    <t>age</t>
  </si>
  <si>
    <t>cause</t>
  </si>
  <si>
    <t>metric</t>
  </si>
  <si>
    <t>year</t>
  </si>
  <si>
    <t>val</t>
  </si>
  <si>
    <t>upper</t>
  </si>
  <si>
    <t>lower</t>
  </si>
  <si>
    <t>XXX</t>
  </si>
  <si>
    <t>Deaths</t>
  </si>
  <si>
    <t>Middle SDI</t>
  </si>
  <si>
    <t>Both</t>
  </si>
  <si>
    <t>All ages</t>
  </si>
  <si>
    <t>Diabetes mellitus type 2</t>
  </si>
  <si>
    <t>Number</t>
  </si>
  <si>
    <t>187581.1843092193</t>
  </si>
  <si>
    <t>197299.5241121459</t>
  </si>
  <si>
    <t>177524.64872300814</t>
  </si>
  <si>
    <t>(</t>
  </si>
  <si>
    <t>,</t>
  </si>
  <si>
    <t>)</t>
  </si>
  <si>
    <t>Rate</t>
  </si>
  <si>
    <t>10.703861078958925</t>
  </si>
  <si>
    <t>11.258414349062832</t>
  </si>
  <si>
    <t>10.130009494393986</t>
  </si>
  <si>
    <t>Age-standardized</t>
  </si>
  <si>
    <t>20.481359547670085</t>
  </si>
  <si>
    <t>21.60386560603595</t>
  </si>
  <si>
    <t>19.15361938271711</t>
  </si>
  <si>
    <t>Low SDI</t>
  </si>
  <si>
    <t>69676.42757304164</t>
  </si>
  <si>
    <t>78130.09505851346</t>
  </si>
  <si>
    <t>63064.93324052035</t>
  </si>
  <si>
    <t>13.573789412830504</t>
  </si>
  <si>
    <t>15.220663487905544</t>
  </si>
  <si>
    <t>12.285792382849458</t>
  </si>
  <si>
    <t>34.58412077045666</t>
  </si>
  <si>
    <t>38.70848691485506</t>
  </si>
  <si>
    <t>31.24955833783718</t>
  </si>
  <si>
    <t>South Asia</t>
  </si>
  <si>
    <t>115594.89385018616</t>
  </si>
  <si>
    <t>125941.52565133828</t>
  </si>
  <si>
    <t>102942.54109426541</t>
  </si>
  <si>
    <t>10.372383106892404</t>
  </si>
  <si>
    <t>11.300791147532971</t>
  </si>
  <si>
    <t>9.2370816621933</t>
  </si>
  <si>
    <t>23.551467204944714</t>
  </si>
  <si>
    <t>25.75177896181917</t>
  </si>
  <si>
    <t>20.72322919585212</t>
  </si>
  <si>
    <t>High-income</t>
  </si>
  <si>
    <t>165671.00204516144</t>
  </si>
  <si>
    <t>172187.76398660548</t>
  </si>
  <si>
    <t>153033.71747760067</t>
  </si>
  <si>
    <t>18.09904165953964</t>
  </si>
  <si>
    <t>18.810977631480885</t>
  </si>
  <si>
    <t>16.718457628368107</t>
  </si>
  <si>
    <t>13.289360652918843</t>
  </si>
  <si>
    <t>13.81888705247497</t>
  </si>
  <si>
    <t>12.25572737744647</t>
  </si>
  <si>
    <t>Central Europe, Eastern Europe, and Central Asia</t>
  </si>
  <si>
    <t>34438.68169020653</t>
  </si>
  <si>
    <t>35372.53524436194</t>
  </si>
  <si>
    <t>33239.55198841729</t>
  </si>
  <si>
    <t>8.157557650920001</t>
  </si>
  <si>
    <t>8.37876136231833</t>
  </si>
  <si>
    <t>7.873517461424075</t>
  </si>
  <si>
    <t>7.202033630922862</t>
  </si>
  <si>
    <t>7.398699406652054</t>
  </si>
  <si>
    <t>6.939774372109086</t>
  </si>
  <si>
    <t>Latin America and Caribbean</t>
  </si>
  <si>
    <t>80517.78407589602</t>
  </si>
  <si>
    <t>82583.0546191516</t>
  </si>
  <si>
    <t>77275.06778140165</t>
  </si>
  <si>
    <t>20.249500686826423</t>
  </si>
  <si>
    <t>20.768897709038498</t>
  </si>
  <si>
    <t>19.4339866164112</t>
  </si>
  <si>
    <t>37.85460065637254</t>
  </si>
  <si>
    <t>38.952750873327766</t>
  </si>
  <si>
    <t>36.06662505842624</t>
  </si>
  <si>
    <t>High SDI</t>
  </si>
  <si>
    <t>143484.86375198426</t>
  </si>
  <si>
    <t>148836.84296193373</t>
  </si>
  <si>
    <t>133139.60639107547</t>
  </si>
  <si>
    <t>16.182664688067604</t>
  </si>
  <si>
    <t>16.786277380775225</t>
  </si>
  <si>
    <t>15.015894712436397</t>
  </si>
  <si>
    <t>12.61267425586473</t>
  </si>
  <si>
    <t>13.09735331075467</t>
  </si>
  <si>
    <t>11.68482403287974</t>
  </si>
  <si>
    <t>Global</t>
  </si>
  <si>
    <t>651778.9685721563</t>
  </si>
  <si>
    <t>617804.4921763719</t>
  </si>
  <si>
    <t>12.033181807434735</t>
  </si>
  <si>
    <t>12.580265225660145</t>
  </si>
  <si>
    <t>11.405943017913076</t>
  </si>
  <si>
    <t>17.416559726003484</t>
  </si>
  <si>
    <t>18.259620314841488</t>
  </si>
  <si>
    <t>16.337268179947507</t>
  </si>
  <si>
    <t>High-middle SDI</t>
  </si>
  <si>
    <t>112642.31100361022</t>
  </si>
  <si>
    <t>117842.92353950808</t>
  </si>
  <si>
    <t>106212.95577279055</t>
  </si>
  <si>
    <t>10.473759266114591</t>
  </si>
  <si>
    <t>10.957325017314302</t>
  </si>
  <si>
    <t>9.875941995464125</t>
  </si>
  <si>
    <t>12.159445831787162</t>
  </si>
  <si>
    <t>12.766387776508452</t>
  </si>
  <si>
    <t>11.34203184511677</t>
  </si>
  <si>
    <t>Sub-Saharan Africa</t>
  </si>
  <si>
    <t>76910.62134470271</t>
  </si>
  <si>
    <t>85470.5764818236</t>
  </si>
  <si>
    <t>70186.98289024831</t>
  </si>
  <si>
    <t>15.233866778241879</t>
  </si>
  <si>
    <t>16.929357126735972</t>
  </si>
  <si>
    <t>13.90209997296334</t>
  </si>
  <si>
    <t>40.54942333316968</t>
  </si>
  <si>
    <t>44.97184017453183</t>
  </si>
  <si>
    <t>36.9615948030616</t>
  </si>
  <si>
    <t>North Africa and Middle East</t>
  </si>
  <si>
    <t>34128.35126326812</t>
  </si>
  <si>
    <t>38040.17701219574</t>
  </si>
  <si>
    <t>31306.703257981837</t>
  </si>
  <si>
    <t>9.82367070762629</t>
  </si>
  <si>
    <t>10.949669667454112</t>
  </si>
  <si>
    <t>9.011473814698839</t>
  </si>
  <si>
    <t>22.993640631307315</t>
  </si>
  <si>
    <t>25.61094319441071</t>
  </si>
  <si>
    <t>21.034825756622887</t>
  </si>
  <si>
    <t>Low-middle SDI</t>
  </si>
  <si>
    <t>137335.38434238816</t>
  </si>
  <si>
    <t>147691.7442621242</t>
  </si>
  <si>
    <t>125985.47297037441</t>
  </si>
  <si>
    <t>11.603471251994334</t>
  </si>
  <si>
    <t>12.478480450675209</t>
  </si>
  <si>
    <t>10.644516857622737</t>
  </si>
  <si>
    <t>25.248357817810703</t>
  </si>
  <si>
    <t>27.126504446461805</t>
  </si>
  <si>
    <t>23.042083262626452</t>
  </si>
  <si>
    <t>Southeast Asia, East Asia, and Oceania</t>
  </si>
  <si>
    <t>144517.63430273577</t>
  </si>
  <si>
    <t>158290.81388495222</t>
  </si>
  <si>
    <t>132417.74745112815</t>
  </si>
  <si>
    <t>8.428481053372671</t>
  </si>
  <si>
    <t>9.231753150328188</t>
  </si>
  <si>
    <t>7.722797850289693</t>
  </si>
  <si>
    <t>14.305090433630818</t>
  </si>
  <si>
    <t>15.626394000048855</t>
  </si>
  <si>
    <t>13.084334305931788</t>
  </si>
  <si>
    <t>154565.94331593325</t>
  </si>
  <si>
    <t>172691.76101435247</t>
  </si>
  <si>
    <t>139065.4441013977</t>
  </si>
  <si>
    <t>13.832857664798038</t>
  </si>
  <si>
    <t>15.455025206374838</t>
  </si>
  <si>
    <t>12.445642636907195</t>
  </si>
  <si>
    <t>35.870118826971094</t>
  </si>
  <si>
    <t>39.93993843863546</t>
  </si>
  <si>
    <t>32.299612418331925</t>
  </si>
  <si>
    <t>216349.616233895</t>
  </si>
  <si>
    <t>233330.63623970194</t>
  </si>
  <si>
    <t>197951.0788205667</t>
  </si>
  <si>
    <t>36.415212091912224</t>
  </si>
  <si>
    <t>39.273398095718</t>
  </si>
  <si>
    <t>33.318434506862076</t>
  </si>
  <si>
    <t>35.57955121674969</t>
  </si>
  <si>
    <t>38.3699133805611</t>
  </si>
  <si>
    <t>32.494332563009095</t>
  </si>
  <si>
    <t>113250.7187394266</t>
  </si>
  <si>
    <t>126911.27500378512</t>
  </si>
  <si>
    <t>100173.92408022235</t>
  </si>
  <si>
    <t>18.178283646996846</t>
  </si>
  <si>
    <t>20.3709890824531</t>
  </si>
  <si>
    <t>16.079279904199478</t>
  </si>
  <si>
    <t>28.878397717197362</t>
  </si>
  <si>
    <t>32.137374085415665</t>
  </si>
  <si>
    <t>25.566712888001057</t>
  </si>
  <si>
    <t>577559.8950625275</t>
  </si>
  <si>
    <t>614261.3792947237</t>
  </si>
  <si>
    <t>535862.1690630177</t>
  </si>
  <si>
    <t>23.587891978775417</t>
  </si>
  <si>
    <t>25.086802573036884</t>
  </si>
  <si>
    <t>21.884931878800785</t>
  </si>
  <si>
    <t>22.943508651205615</t>
  </si>
  <si>
    <t>24.401076714924642</t>
  </si>
  <si>
    <t>21.18930970686611</t>
  </si>
  <si>
    <t>437451.4431116421</t>
  </si>
  <si>
    <t>474443.53229747043</t>
  </si>
  <si>
    <t>399916.74922457465</t>
  </si>
  <si>
    <t>22.770737435159106</t>
  </si>
  <si>
    <t>24.69629320435911</t>
  </si>
  <si>
    <t>20.816937367357397</t>
  </si>
  <si>
    <t>34.29030796814173</t>
  </si>
  <si>
    <t>37.1925060023968</t>
  </si>
  <si>
    <t>31.308274480109006</t>
  </si>
  <si>
    <t>390782.08796908363</t>
  </si>
  <si>
    <t>428483.03987742244</t>
  </si>
  <si>
    <t>351368.5265155312</t>
  </si>
  <si>
    <t>17.884704770092792</t>
  </si>
  <si>
    <t>19.61014310309401</t>
  </si>
  <si>
    <t>16.080886396026326</t>
  </si>
  <si>
    <t>14.553907368843301</t>
  </si>
  <si>
    <t>16.012488089881117</t>
  </si>
  <si>
    <t>13.065784035290942</t>
  </si>
  <si>
    <t>204662.11579176897</t>
  </si>
  <si>
    <t>218367.18606064538</t>
  </si>
  <si>
    <t>179496.64332885548</t>
  </si>
  <si>
    <t>18.74768550506717</t>
  </si>
  <si>
    <t>20.003112510850517</t>
  </si>
  <si>
    <t>16.442450061292373</t>
  </si>
  <si>
    <t>8.328915014547242</t>
  </si>
  <si>
    <t>8.809457106680389</t>
  </si>
  <si>
    <t>7.472745049871089</t>
  </si>
  <si>
    <t>410254.0842682346</t>
  </si>
  <si>
    <t>452153.73277311993</t>
  </si>
  <si>
    <t>364228.6486536388</t>
  </si>
  <si>
    <t>22.217071148512865</t>
  </si>
  <si>
    <t>24.486122225947312</t>
  </si>
  <si>
    <t>19.72459047153269</t>
  </si>
  <si>
    <t>31.952662413253705</t>
  </si>
  <si>
    <t>35.18933080127679</t>
  </si>
  <si>
    <t>28.4646772851421</t>
  </si>
  <si>
    <t>88181.03060527972</t>
  </si>
  <si>
    <t>93046.43302642055</t>
  </si>
  <si>
    <t>82199.79607702361</t>
  </si>
  <si>
    <t>21.10443017480844</t>
  </si>
  <si>
    <t>22.26887047409387</t>
  </si>
  <si>
    <t>19.67293696595976</t>
  </si>
  <si>
    <t>13.258253611529817</t>
  </si>
  <si>
    <t>13.990507211150515</t>
  </si>
  <si>
    <t>12.360248623971259</t>
  </si>
  <si>
    <t>201593.74282197145</t>
  </si>
  <si>
    <t>213767.74283387332</t>
  </si>
  <si>
    <t>178953.3739468124</t>
  </si>
  <si>
    <t>18.426411961702417</t>
  </si>
  <si>
    <t>19.53916048405696</t>
  </si>
  <si>
    <t>16.35699870502707</t>
  </si>
  <si>
    <t>8.859348338941375</t>
  </si>
  <si>
    <t>9.328137671539713</t>
  </si>
  <si>
    <t>7.965836224810819</t>
  </si>
  <si>
    <t>234999.03675195805</t>
  </si>
  <si>
    <t>254106.76405889422</t>
  </si>
  <si>
    <t>212680.3381940907</t>
  </si>
  <si>
    <t>18.020966204065665</t>
  </si>
  <si>
    <t>19.48624756348781</t>
  </si>
  <si>
    <t>16.30945062515467</t>
  </si>
  <si>
    <t>11.98057042640377</t>
  </si>
  <si>
    <t>12.966378755856955</t>
  </si>
  <si>
    <t>10.81698681952001</t>
  </si>
  <si>
    <t>1608123.2249893844</t>
  </si>
  <si>
    <t>1708293.6406591984</t>
  </si>
  <si>
    <t>1493437.6984882753</t>
  </si>
  <si>
    <t>20.37829461822197</t>
  </si>
  <si>
    <t>21.64766391208483</t>
  </si>
  <si>
    <t>18.924988421801032</t>
  </si>
  <si>
    <t>19.01988616453703</t>
  </si>
  <si>
    <t>20.204377680393694</t>
  </si>
  <si>
    <t>17.57097883049543</t>
  </si>
  <si>
    <t>184643.5713816955</t>
  </si>
  <si>
    <t>204040.1240689729</t>
  </si>
  <si>
    <t>167915.15968589167</t>
  </si>
  <si>
    <t>16.294601477359862</t>
  </si>
  <si>
    <t>18.006326904401337</t>
  </si>
  <si>
    <t>14.818336693849757</t>
  </si>
  <si>
    <t>46.14532547394552</t>
  </si>
  <si>
    <t>50.45776048076763</t>
  </si>
  <si>
    <t>42.11375494008219</t>
  </si>
  <si>
    <t>DALYs (Disability-Adjusted Life Years)</t>
  </si>
  <si>
    <t>6870551.504598273</t>
  </si>
  <si>
    <t>8108751.205577141</t>
  </si>
  <si>
    <t>5908691.94322617</t>
  </si>
  <si>
    <t>400.70067201225515</t>
  </si>
  <si>
    <t>472.91430026837827</t>
  </si>
  <si>
    <t>344.60360726202885</t>
  </si>
  <si>
    <t>559.0269705271132</t>
  </si>
  <si>
    <t>656.1828882957116</t>
  </si>
  <si>
    <t>484.3554501562585</t>
  </si>
  <si>
    <t>8062952.280644101</t>
  </si>
  <si>
    <t>9339292.239301862</t>
  </si>
  <si>
    <t>7027088.931183878</t>
  </si>
  <si>
    <t>460.09263357682977</t>
  </si>
  <si>
    <t>532.9238488040245</t>
  </si>
  <si>
    <t>400.9836273604619</t>
  </si>
  <si>
    <t>720.2378502532346</t>
  </si>
  <si>
    <t>827.8607452610902</t>
  </si>
  <si>
    <t>634.9246754097546</t>
  </si>
  <si>
    <t>5593988.659386994</t>
  </si>
  <si>
    <t>6568361.08307852</t>
  </si>
  <si>
    <t>4856959.02424049</t>
  </si>
  <si>
    <t>611.1258611307146</t>
  </si>
  <si>
    <t>717.5730176674525</t>
  </si>
  <si>
    <t>530.6076659960246</t>
  </si>
  <si>
    <t>468.93633049486533</t>
  </si>
  <si>
    <t>553.2422267983518</t>
  </si>
  <si>
    <t>405.39580660545954</t>
  </si>
  <si>
    <t>1379301.684332542</t>
  </si>
  <si>
    <t>1619807.9484231728</t>
  </si>
  <si>
    <t>1201108.1596210229</t>
  </si>
  <si>
    <t>397.0249089630261</t>
  </si>
  <si>
    <t>466.25340240304314</t>
  </si>
  <si>
    <t>345.73281766058767</t>
  </si>
  <si>
    <t>770.0514446018119</t>
  </si>
  <si>
    <t>898.0514532456461</t>
  </si>
  <si>
    <t>676.7119849904699</t>
  </si>
  <si>
    <t>1791477.287172807</t>
  </si>
  <si>
    <t>2168884.45516713</t>
  </si>
  <si>
    <t>1503430.0048005038</t>
  </si>
  <si>
    <t>424.35071649626525</t>
  </si>
  <si>
    <t>513.7478879234062</t>
  </si>
  <si>
    <t>356.1203953335619</t>
  </si>
  <si>
    <t>370.4865949220304</t>
  </si>
  <si>
    <t>448.5402439531883</t>
  </si>
  <si>
    <t>310.53723155139863</t>
  </si>
  <si>
    <t>3076835.0679298188</t>
  </si>
  <si>
    <t>3480022.2502840855</t>
  </si>
  <si>
    <t>2753401.886462975</t>
  </si>
  <si>
    <t>773.7964294020856</t>
  </si>
  <si>
    <t>875.1943903582221</t>
  </si>
  <si>
    <t>692.4558845097687</t>
  </si>
  <si>
    <t>1276.8736776243618</t>
  </si>
  <si>
    <t>1436.666992003219</t>
  </si>
  <si>
    <t>1146.2096067427224</t>
  </si>
  <si>
    <t>5176683.131396697</t>
  </si>
  <si>
    <t>6094167.353831546</t>
  </si>
  <si>
    <t>4464419.684769617</t>
  </si>
  <si>
    <t>583.8422612755211</t>
  </si>
  <si>
    <t>687.318956586878</t>
  </si>
  <si>
    <t>503.5109968833636</t>
  </si>
  <si>
    <t>469.6330483934545</t>
  </si>
  <si>
    <t>554.3988357133366</t>
  </si>
  <si>
    <t>403.51864178099373</t>
  </si>
  <si>
    <t>2505216.6753951577</t>
  </si>
  <si>
    <t>2785162.7287838217</t>
  </si>
  <si>
    <t>2269056.4038214926</t>
  </si>
  <si>
    <t>496.2141303286774</t>
  </si>
  <si>
    <t>551.6637003341502</t>
  </si>
  <si>
    <t>449.4373126074613</t>
  </si>
  <si>
    <t>1101.5790115472716</t>
  </si>
  <si>
    <t>1216.5719665973327</t>
  </si>
  <si>
    <t>998.0699164458144</t>
  </si>
  <si>
    <t>2449814.105284784</t>
  </si>
  <si>
    <t>2746851.378424062</t>
  </si>
  <si>
    <t>2199866.5049070287</t>
  </si>
  <si>
    <t>477.2526652698729</t>
  </si>
  <si>
    <t>535.1190274499277</t>
  </si>
  <si>
    <t>428.5599264205203</t>
  </si>
  <si>
    <t>1003.4922425213558</t>
  </si>
  <si>
    <t>1124.6558369709958</t>
  </si>
  <si>
    <t>905.4322190243314</t>
  </si>
  <si>
    <t>5226550.711994459</t>
  </si>
  <si>
    <t>5917726.203470526</t>
  </si>
  <si>
    <t>4616100.832346989</t>
  </si>
  <si>
    <t>441.5914458179438</t>
  </si>
  <si>
    <t>499.98888638891157</t>
  </si>
  <si>
    <t>390.0145149112411</t>
  </si>
  <si>
    <t>797.2472773993851</t>
  </si>
  <si>
    <t>893.8438295405437</t>
  </si>
  <si>
    <t>709.7832216940195</t>
  </si>
  <si>
    <t>4885999.476200921</t>
  </si>
  <si>
    <t>5834781.896905454</t>
  </si>
  <si>
    <t>4161104.0280905683</t>
  </si>
  <si>
    <t>454.312254712621</t>
  </si>
  <si>
    <t>542.5323789434019</t>
  </si>
  <si>
    <t>386.9096921323243</t>
  </si>
  <si>
    <t>477.0037902692044</t>
  </si>
  <si>
    <t>566.7241415182845</t>
  </si>
  <si>
    <t>408.43305287065965</t>
  </si>
  <si>
    <t>4624702.610553886</t>
  </si>
  <si>
    <t>5263941.894304364</t>
  </si>
  <si>
    <t>4014887.124279747</t>
  </si>
  <si>
    <t>414.9766969316097</t>
  </si>
  <si>
    <t>472.33593251020443</t>
  </si>
  <si>
    <t>360.257672263021</t>
  </si>
  <si>
    <t>746.2762704072567</t>
  </si>
  <si>
    <t>844.560905547401</t>
  </si>
  <si>
    <t>652.1674288561193</t>
  </si>
  <si>
    <t>25842073.48936946</t>
  </si>
  <si>
    <t>29992010.761523385</t>
  </si>
  <si>
    <t>22632238.825215302</t>
  </si>
  <si>
    <t>477.09788681873806</t>
  </si>
  <si>
    <t>553.7142738044577</t>
  </si>
  <si>
    <t>417.83772969800754</t>
  </si>
  <si>
    <t>620.8465959941818</t>
  </si>
  <si>
    <t>716.6891440155077</t>
  </si>
  <si>
    <t>548.7943058324192</t>
  </si>
  <si>
    <t>6474332.421942872</t>
  </si>
  <si>
    <t>7601171.995359408</t>
  </si>
  <si>
    <t>5608420.446541036</t>
  </si>
  <si>
    <t>579.4194823646554</t>
  </si>
  <si>
    <t>680.2658337389164</t>
  </si>
  <si>
    <t>501.92481019425054</t>
  </si>
  <si>
    <t>1172.9390523768168</t>
  </si>
  <si>
    <t>1362.0310193262083</t>
  </si>
  <si>
    <t>1026.0948011794553</t>
  </si>
  <si>
    <t>6853738.680252692</t>
  </si>
  <si>
    <t>7954124.36640745</t>
  </si>
  <si>
    <t>6099562.073796022</t>
  </si>
  <si>
    <t>604.8352487388848</t>
  </si>
  <si>
    <t>701.9431312018887</t>
  </si>
  <si>
    <t>538.2799543747219</t>
  </si>
  <si>
    <t>1340.7987516582177</t>
  </si>
  <si>
    <t>1538.2562239029567</t>
  </si>
  <si>
    <t>1202.642838145113</t>
  </si>
  <si>
    <t>4122922.7526758397</t>
  </si>
  <si>
    <t>5039610.669329898</t>
  </si>
  <si>
    <t>3437709.3756447425</t>
  </si>
  <si>
    <t>986.742100344272</t>
  </si>
  <si>
    <t>1206.1336859984979</t>
  </si>
  <si>
    <t>822.7494845726474</t>
  </si>
  <si>
    <t>650.0404193840767</t>
  </si>
  <si>
    <t>796.41598019966</t>
  </si>
  <si>
    <t>537.3997887127803</t>
  </si>
  <si>
    <t>6306449.284604356</t>
  </si>
  <si>
    <t>7933908.807981863</t>
  </si>
  <si>
    <t>5148287.225313546</t>
  </si>
  <si>
    <t>1012.2710493759356</t>
  </si>
  <si>
    <t>1273.5004805818608</t>
  </si>
  <si>
    <t>826.3702563626997</t>
  </si>
  <si>
    <t>1306.7181137327152</t>
  </si>
  <si>
    <t>1628.6816964460425</t>
  </si>
  <si>
    <t>1081.8680023476368</t>
  </si>
  <si>
    <t>8795694.959810765</t>
  </si>
  <si>
    <t>10410829.368202439</t>
  </si>
  <si>
    <t>7579823.229462925</t>
  </si>
  <si>
    <t>1480.460668397951</t>
  </si>
  <si>
    <t>1752.3144533149668</t>
  </si>
  <si>
    <t>1275.809383556707</t>
  </si>
  <si>
    <t>1396.0107208852953</t>
  </si>
  <si>
    <t>1650.1012526591005</t>
  </si>
  <si>
    <t>1202.8956431306526</t>
  </si>
  <si>
    <t>12090038.383250497</t>
  </si>
  <si>
    <t>15402071.680840336</t>
  </si>
  <si>
    <t>9584296.79949783</t>
  </si>
  <si>
    <t>1107.4850686288416</t>
  </si>
  <si>
    <t>1410.8776061549397</t>
  </si>
  <si>
    <t>877.9513565032427</t>
  </si>
  <si>
    <t>625.597893661168</t>
  </si>
  <si>
    <t>802.7516317718596</t>
  </si>
  <si>
    <t>489.135195622523</t>
  </si>
  <si>
    <t>12231452.238196352</t>
  </si>
  <si>
    <t>14957461.206414577</t>
  </si>
  <si>
    <t>9946570.838509597</t>
  </si>
  <si>
    <t>937.9723017496312</t>
  </si>
  <si>
    <t>1147.0170543036263</t>
  </si>
  <si>
    <t>762.7555389357703</t>
  </si>
  <si>
    <t>641.6705193044916</t>
  </si>
  <si>
    <t>788.3338415350698</t>
  </si>
  <si>
    <t>516.9071718520185</t>
  </si>
  <si>
    <t>12421027.222418632</t>
  </si>
  <si>
    <t>15785615.37656436</t>
  </si>
  <si>
    <t>9861777.84702405</t>
  </si>
  <si>
    <t>1135.3277209101</t>
  </si>
  <si>
    <t>1442.8634933100561</t>
  </si>
  <si>
    <t>901.4028845356132</t>
  </si>
  <si>
    <t>667.5374228214225</t>
  </si>
  <si>
    <t>853.8280980456863</t>
  </si>
  <si>
    <t>523.8428858329387</t>
  </si>
  <si>
    <t>75340873.71385093</t>
  </si>
  <si>
    <t>90254281.75094804</t>
  </si>
  <si>
    <t>63483094.22634784</t>
  </si>
  <si>
    <t>954.7269123889706</t>
  </si>
  <si>
    <t>1143.7110760520081</t>
  </si>
  <si>
    <t>804.4639722365821</t>
  </si>
  <si>
    <t>871.7811151318916</t>
  </si>
  <si>
    <t>1044.784176539865</t>
  </si>
  <si>
    <t>735.0546814426484</t>
  </si>
  <si>
    <t>18042396.59473744</t>
  </si>
  <si>
    <t>21210334.864837114</t>
  </si>
  <si>
    <t>15414619.652964268</t>
  </si>
  <si>
    <t>939.1640650158416</t>
  </si>
  <si>
    <t>1104.0653167893352</t>
  </si>
  <si>
    <t>802.3799265211555</t>
  </si>
  <si>
    <t>1209.6232350291639</t>
  </si>
  <si>
    <t>1411.328383713429</t>
  </si>
  <si>
    <t>1045.252375026474</t>
  </si>
  <si>
    <t>16851967.793303676</t>
  </si>
  <si>
    <t>19903034.206266724</t>
  </si>
  <si>
    <t>14173188.126656752</t>
  </si>
  <si>
    <t>912.6085072963754</t>
  </si>
  <si>
    <t>1077.8372330421453</t>
  </si>
  <si>
    <t>767.5407536109011</t>
  </si>
  <si>
    <t>1103.9840125359478</t>
  </si>
  <si>
    <t>1291.7229229905065</t>
  </si>
  <si>
    <t>940.9803144191739</t>
  </si>
  <si>
    <t>20320061.859953113</t>
  </si>
  <si>
    <t>24922307.29165482</t>
  </si>
  <si>
    <t>16734359.307793839</t>
  </si>
  <si>
    <t>929.9768808851751</t>
  </si>
  <si>
    <t>1140.6052678034746</t>
  </si>
  <si>
    <t>765.8720421193547</t>
  </si>
  <si>
    <t>717.3935364610082</t>
  </si>
  <si>
    <t>880.0002229610832</t>
  </si>
  <si>
    <t>590.4988616627442</t>
  </si>
  <si>
    <t>26084565.55987856</t>
  </si>
  <si>
    <t>30907857.56022273</t>
  </si>
  <si>
    <t>22169178.42933143</t>
  </si>
  <si>
    <t>1065.3092778768678</t>
  </si>
  <si>
    <t>1262.295411538196</t>
  </si>
  <si>
    <t>905.4025227853728</t>
  </si>
  <si>
    <t>952.5187168381934</t>
  </si>
  <si>
    <t>1124.096836731398</t>
  </si>
  <si>
    <t>811.5958555242986</t>
  </si>
  <si>
    <t>Prevalence</t>
  </si>
  <si>
    <t>6874585.148160351</t>
  </si>
  <si>
    <t>7440087.087557593</t>
  </si>
  <si>
    <t>6339021.27704132</t>
  </si>
  <si>
    <t>1978.8140430842</t>
  </si>
  <si>
    <t>2141.59087324246</t>
  </si>
  <si>
    <t>1824.65473218782</t>
  </si>
  <si>
    <t>47054389.63782369</t>
  </si>
  <si>
    <t>50752953.79215322</t>
  </si>
  <si>
    <t>43672408.10002206</t>
  </si>
  <si>
    <t>7552.8707560854</t>
  </si>
  <si>
    <t>8146.54070390014</t>
  </si>
  <si>
    <t>7010.01663235557</t>
  </si>
  <si>
    <t>3491.2495718043897</t>
  </si>
  <si>
    <t>3770.90719876287</t>
  </si>
  <si>
    <t>3231.53110468953</t>
  </si>
  <si>
    <t>8961.3592957163</t>
  </si>
  <si>
    <t>9640.41183545591</t>
  </si>
  <si>
    <t>8330.51909818941</t>
  </si>
  <si>
    <t>11803641.891715746</t>
  </si>
  <si>
    <t>12809388.506713731</t>
  </si>
  <si>
    <t>10880733.730442472</t>
  </si>
  <si>
    <t>2968.51009173392</t>
  </si>
  <si>
    <t>3221.44634680993</t>
  </si>
  <si>
    <t>2736.40696495183</t>
  </si>
  <si>
    <t>41447961.51653644</t>
  </si>
  <si>
    <t>44828459.62016936</t>
  </si>
  <si>
    <t>38253940.35822839</t>
  </si>
  <si>
    <t>6976.376180720161</t>
  </si>
  <si>
    <t>7545.36981964121</t>
  </si>
  <si>
    <t>6438.769690214061</t>
  </si>
  <si>
    <t>4547.95151039625</t>
  </si>
  <si>
    <t>4929.91007723903</t>
  </si>
  <si>
    <t>4210.29116685537</t>
  </si>
  <si>
    <t>6520.199258569801</t>
  </si>
  <si>
    <t>7050.06259947049</t>
  </si>
  <si>
    <t>6023.9230022844895</t>
  </si>
  <si>
    <t>44816224.64156815</t>
  </si>
  <si>
    <t>49268140.34480986</t>
  </si>
  <si>
    <t>40458433.98458587</t>
  </si>
  <si>
    <t>2613.7481567396403</t>
  </si>
  <si>
    <t>2873.3904304111197</t>
  </si>
  <si>
    <t>2359.59539424702</t>
  </si>
  <si>
    <t>155996039.05641714</t>
  </si>
  <si>
    <t>169626551.21270752</t>
  </si>
  <si>
    <t>143961064.05119938</t>
  </si>
  <si>
    <t>7139.383277077451</t>
  </si>
  <si>
    <t>7763.20328645235</t>
  </si>
  <si>
    <t>6588.585322129239</t>
  </si>
  <si>
    <t>3350.3867147540404</t>
  </si>
  <si>
    <t>3710.9497798120296</t>
  </si>
  <si>
    <t>3017.0462783083804</t>
  </si>
  <si>
    <t>5633.686425001671</t>
  </si>
  <si>
    <t>6106.60753879117</t>
  </si>
  <si>
    <t>5192.98356992146</t>
  </si>
  <si>
    <t>134973616.1596483</t>
  </si>
  <si>
    <t>123577027.70112447</t>
  </si>
  <si>
    <t>2491.89087216788</t>
  </si>
  <si>
    <t>2721.22857094146</t>
  </si>
  <si>
    <t>2281.48638304122</t>
  </si>
  <si>
    <t>506037583.6168959</t>
  </si>
  <si>
    <t>545298325.3849418</t>
  </si>
  <si>
    <t>469995870.87691057</t>
  </si>
  <si>
    <t>6412.55769868401</t>
  </si>
  <si>
    <t>6910.07365408255</t>
  </si>
  <si>
    <t>5955.83359362322</t>
  </si>
  <si>
    <t>3085.41548939863</t>
  </si>
  <si>
    <t>3372.2589886573</t>
  </si>
  <si>
    <t>2827.7522241862503</t>
  </si>
  <si>
    <t>5885.39797869716</t>
  </si>
  <si>
    <t>6334.17676349197</t>
  </si>
  <si>
    <t>5467.62131296584</t>
  </si>
  <si>
    <t>32904948.582848582</t>
  </si>
  <si>
    <t>35727490.940666154</t>
  </si>
  <si>
    <t>30473850.59745095</t>
  </si>
  <si>
    <t>3594.7632829771896</t>
  </si>
  <si>
    <t>3903.1172561488497</t>
  </si>
  <si>
    <t>3329.1733899183005</t>
  </si>
  <si>
    <t>112428625.8916574</t>
  </si>
  <si>
    <t>119939344.99181098</t>
  </si>
  <si>
    <t>105864396.3577133</t>
  </si>
  <si>
    <t>10298.81134488113</t>
  </si>
  <si>
    <t>10986.81654340964</t>
  </si>
  <si>
    <t>9697.50753049729</t>
  </si>
  <si>
    <t>2848.0734389599</t>
  </si>
  <si>
    <t>3096.82630605629</t>
  </si>
  <si>
    <t>2633.81099188659</t>
  </si>
  <si>
    <t>6228.9832033059</t>
  </si>
  <si>
    <t>6639.80548003691</t>
  </si>
  <si>
    <t>5834.47130098454</t>
  </si>
  <si>
    <t>10856894.032281503</t>
  </si>
  <si>
    <t>11865830.76835121</t>
  </si>
  <si>
    <t>10004675.633954234</t>
  </si>
  <si>
    <t>2571.6936488730803</t>
  </si>
  <si>
    <t>2810.6824599041397</t>
  </si>
  <si>
    <t>2369.8270159378603</t>
  </si>
  <si>
    <t>25963290.616457235</t>
  </si>
  <si>
    <t>28224144.200943485</t>
  </si>
  <si>
    <t>23906994.06817588</t>
  </si>
  <si>
    <t>6213.813222211001</t>
  </si>
  <si>
    <t>6754.90495454554</t>
  </si>
  <si>
    <t>5721.678274093199</t>
  </si>
  <si>
    <t>2278.92462683323</t>
  </si>
  <si>
    <t>2487.19193103197</t>
  </si>
  <si>
    <t>2100.1496445143803</t>
  </si>
  <si>
    <t>4254.57144323421</t>
  </si>
  <si>
    <t>4625.18311196851</t>
  </si>
  <si>
    <t>3912.2786258085603</t>
  </si>
  <si>
    <t>22153600.706928663</t>
  </si>
  <si>
    <t>24511791.734991387</t>
  </si>
  <si>
    <t>19897700.057726063</t>
  </si>
  <si>
    <t>1987.85280279935</t>
  </si>
  <si>
    <t>2199.45437071985</t>
  </si>
  <si>
    <t>1785.42979772317</t>
  </si>
  <si>
    <t>98445161.40200163</t>
  </si>
  <si>
    <t>108080237.40014926</t>
  </si>
  <si>
    <t>89269721.49938454</t>
  </si>
  <si>
    <t>5331.2404165246</t>
  </si>
  <si>
    <t>5853.02234918713</t>
  </si>
  <si>
    <t>4834.3498090881</t>
  </si>
  <si>
    <t>3064.78132994558</t>
  </si>
  <si>
    <t>3382.0323193153904</t>
  </si>
  <si>
    <t>2768.08667260659</t>
  </si>
  <si>
    <t>5863.38859037002</t>
  </si>
  <si>
    <t>6426.818071293269</t>
  </si>
  <si>
    <t>5320.12668715202</t>
  </si>
  <si>
    <t>5563721.156145285</t>
  </si>
  <si>
    <t>6090887.470918547</t>
  </si>
  <si>
    <t>5055418.219769714</t>
  </si>
  <si>
    <t>1102.0192712282699</t>
  </si>
  <si>
    <t>1206.4363370226001</t>
  </si>
  <si>
    <t>1001.33851894271</t>
  </si>
  <si>
    <t>24702115.496002425</t>
  </si>
  <si>
    <t>26782029.36744534</t>
  </si>
  <si>
    <t>22683734.930033565</t>
  </si>
  <si>
    <t>2179.93577920459</t>
  </si>
  <si>
    <t>2363.4859964625402</t>
  </si>
  <si>
    <t>2001.8158116042898</t>
  </si>
  <si>
    <t>2184.42924672991</t>
  </si>
  <si>
    <t>2383.47518662207</t>
  </si>
  <si>
    <t>1997.22021049154</t>
  </si>
  <si>
    <t>4054.75917227577</t>
  </si>
  <si>
    <t>4389.31451716597</t>
  </si>
  <si>
    <t>3745.7708904070296</t>
  </si>
  <si>
    <t>7012817.139625945</t>
  </si>
  <si>
    <t>7671973.888174917</t>
  </si>
  <si>
    <t>6389138.824373998</t>
  </si>
  <si>
    <t>1366.17944345931</t>
  </si>
  <si>
    <t>1494.59094798816</t>
  </si>
  <si>
    <t>1244.6795559442</t>
  </si>
  <si>
    <t>30962878.92317884</t>
  </si>
  <si>
    <t>33571109.13081288</t>
  </si>
  <si>
    <t>28466753.204796985</t>
  </si>
  <si>
    <t>2771.0185558875</t>
  </si>
  <si>
    <t>3004.44175666002</t>
  </si>
  <si>
    <t>2547.62813083609</t>
  </si>
  <si>
    <t>2554.41688186994</t>
  </si>
  <si>
    <t>2789.6312523586603</t>
  </si>
  <si>
    <t>2333.93162221713</t>
  </si>
  <si>
    <t>4750.70634502318</t>
  </si>
  <si>
    <t>5151.12233153883</t>
  </si>
  <si>
    <t>4367.52080855567</t>
  </si>
  <si>
    <t>21431865.50206798</t>
  </si>
  <si>
    <t>23414528.99421683</t>
  </si>
  <si>
    <t>19487281.227465797</t>
  </si>
  <si>
    <t>1810.77903863337</t>
  </si>
  <si>
    <t>1978.29434391094</t>
  </si>
  <si>
    <t>1646.48104772978</t>
  </si>
  <si>
    <t>97058523.04488066</t>
  </si>
  <si>
    <t>104853564.21421076</t>
  </si>
  <si>
    <t>89154782.94196457</t>
  </si>
  <si>
    <t>5052.20448783678</t>
  </si>
  <si>
    <t>5457.96114622269</t>
  </si>
  <si>
    <t>4640.7897046117805</t>
  </si>
  <si>
    <t>2914.46810648533</t>
  </si>
  <si>
    <t>3184.67307595121</t>
  </si>
  <si>
    <t>2657.42878002382</t>
  </si>
  <si>
    <t>5984.71011908173</t>
  </si>
  <si>
    <t>6477.626210828639</t>
  </si>
  <si>
    <t>5504.1987386324</t>
  </si>
  <si>
    <t>43358937.60451585</t>
  </si>
  <si>
    <t>47478688.92972285</t>
  </si>
  <si>
    <t>39481378.76434268</t>
  </si>
  <si>
    <t>2474.17163058808</t>
  </si>
  <si>
    <t>2709.2551547019903</t>
  </si>
  <si>
    <t>2252.90822773908</t>
  </si>
  <si>
    <t>162027508.69255233</t>
  </si>
  <si>
    <t>176064658.7844295</t>
  </si>
  <si>
    <t>149820600.0289415</t>
  </si>
  <si>
    <t>6617.300483123489</t>
  </si>
  <si>
    <t>7190.58609884514</t>
  </si>
  <si>
    <t>6118.76302334911</t>
  </si>
  <si>
    <t>3499.8263336801997</t>
  </si>
  <si>
    <t>3849.52178627203</t>
  </si>
  <si>
    <t>3182.11311543738</t>
  </si>
  <si>
    <t>5858.40790583993</t>
  </si>
  <si>
    <t>6366.287629583519</t>
  </si>
  <si>
    <t>5428.4051609723</t>
  </si>
  <si>
    <t>31644435.20039186</t>
  </si>
  <si>
    <t>34577800.52575608</t>
  </si>
  <si>
    <t>28974195.049839742</t>
  </si>
  <si>
    <t>2942.37745522146</t>
  </si>
  <si>
    <t>3215.1289815679697</t>
  </si>
  <si>
    <t>2694.09195512461</t>
  </si>
  <si>
    <t>100416140.07969004</t>
  </si>
  <si>
    <t>108445471.65836404</t>
  </si>
  <si>
    <t>93059309.99103668</t>
  </si>
  <si>
    <t>7700.43950703021</t>
  </si>
  <si>
    <t>8316.17102244593</t>
  </si>
  <si>
    <t>7136.278954590949</t>
  </si>
  <si>
    <t>2995.51889893912</t>
  </si>
  <si>
    <t>3271.04759499149</t>
  </si>
  <si>
    <t>2747.79378118219</t>
  </si>
  <si>
    <t>5516.75961175148</t>
  </si>
  <si>
    <t>5953.50063079884</t>
  </si>
  <si>
    <t>5107.80363114958</t>
  </si>
  <si>
    <t>31362398.11741192</t>
  </si>
  <si>
    <t>34130507.6050637</t>
  </si>
  <si>
    <t>28969481.822541296</t>
  </si>
  <si>
    <t>3537.14781668558</t>
  </si>
  <si>
    <t>3849.34372702186</t>
  </si>
  <si>
    <t>3267.26734975745</t>
  </si>
  <si>
    <t>115092212.51702613</t>
  </si>
  <si>
    <t>122529460.45608725</t>
  </si>
  <si>
    <t>108298781.25835076</t>
  </si>
  <si>
    <t>10519.85290682041</t>
  </si>
  <si>
    <t>11199.64481141085</t>
  </si>
  <si>
    <t>9898.90822245884</t>
  </si>
  <si>
    <t>2907.50151935777</t>
  </si>
  <si>
    <t>3167.57093247682</t>
  </si>
  <si>
    <t>2684.47854297253</t>
  </si>
  <si>
    <t>6575.41691318876</t>
  </si>
  <si>
    <t>7011.14060594174</t>
  </si>
  <si>
    <t>6168.3126299049</t>
  </si>
  <si>
    <t>Incidence</t>
  </si>
  <si>
    <t>598956.7376194485</t>
  </si>
  <si>
    <t>653377.0320445299</t>
  </si>
  <si>
    <t>546570.402728374</t>
  </si>
  <si>
    <t>141.87604977129</t>
  </si>
  <si>
    <t>154.76669097370998</t>
  </si>
  <si>
    <t>129.46719652776002</t>
  </si>
  <si>
    <t>1220655.3819512858</t>
  </si>
  <si>
    <t>1330316.3201965787</t>
  </si>
  <si>
    <t>1114757.453218972</t>
  </si>
  <si>
    <t>292.14034015103005</t>
  </si>
  <si>
    <t>318.38557224024</t>
  </si>
  <si>
    <t>266.79571186479</t>
  </si>
  <si>
    <t>126.12071240867</t>
  </si>
  <si>
    <t>137.23308988456</t>
  </si>
  <si>
    <t>115.47178711638</t>
  </si>
  <si>
    <t>224.07630102720998</t>
  </si>
  <si>
    <t>243.14174709176</t>
  </si>
  <si>
    <t>206.27996409311</t>
  </si>
  <si>
    <t>7777842.468086755</t>
  </si>
  <si>
    <t>8431238.514391333</t>
  </si>
  <si>
    <t>7173476.759222613</t>
  </si>
  <si>
    <t>143.59498695256</t>
  </si>
  <si>
    <t>155.65802334458</t>
  </si>
  <si>
    <t>132.43715154576</t>
  </si>
  <si>
    <t>23911320.584328555</t>
  </si>
  <si>
    <t>25788088.77359475</t>
  </si>
  <si>
    <t>22140751.31450385</t>
  </si>
  <si>
    <t>303.00659054371</t>
  </si>
  <si>
    <t>326.78918039545</t>
  </si>
  <si>
    <t>280.56976377461</t>
  </si>
  <si>
    <t>165.84311435326</t>
  </si>
  <si>
    <t>179.91893180398</t>
  </si>
  <si>
    <t>151.94590654755999</t>
  </si>
  <si>
    <t>280.33201017018</t>
  </si>
  <si>
    <t>302.14827336969</t>
  </si>
  <si>
    <t>260.06088345042</t>
  </si>
  <si>
    <t>730955.2749193917</t>
  </si>
  <si>
    <t>786638.9574703246</t>
  </si>
  <si>
    <t>680184.4533405821</t>
  </si>
  <si>
    <t>183.82869711823</t>
  </si>
  <si>
    <t>197.83264396055</t>
  </si>
  <si>
    <t>171.06029075646</t>
  </si>
  <si>
    <t>2166746.6380042806</t>
  </si>
  <si>
    <t>2340335.944972476</t>
  </si>
  <si>
    <t>1996241.75312688</t>
  </si>
  <si>
    <t>364.69922963515</t>
  </si>
  <si>
    <t>393.91717575483</t>
  </si>
  <si>
    <t>336.00044267357</t>
  </si>
  <si>
    <t>249.61451660384</t>
  </si>
  <si>
    <t>230.69235015216</t>
  </si>
  <si>
    <t>334.67487289508</t>
  </si>
  <si>
    <t>361.17635846744</t>
  </si>
  <si>
    <t>308.75494223298</t>
  </si>
  <si>
    <t>1300406.1605504446</t>
  </si>
  <si>
    <t>1428762.6659987678</t>
  </si>
  <si>
    <t>1187565.5189001826</t>
  </si>
  <si>
    <t>116.68604418871001</t>
  </si>
  <si>
    <t>128.20353258657</t>
  </si>
  <si>
    <t>106.56080140124</t>
  </si>
  <si>
    <t>4939344.573545865</t>
  </si>
  <si>
    <t>5418417.629645829</t>
  </si>
  <si>
    <t>4503489.418595111</t>
  </si>
  <si>
    <t>267.48733047526997</t>
  </si>
  <si>
    <t>293.43125298781</t>
  </si>
  <si>
    <t>243.88384824483998</t>
  </si>
  <si>
    <t>161.46608934888002</t>
  </si>
  <si>
    <t>176.85578572022</t>
  </si>
  <si>
    <t>147.81326517757</t>
  </si>
  <si>
    <t>271.08170987295</t>
  </si>
  <si>
    <t>295.77823162647996</t>
  </si>
  <si>
    <t>247.80776196129</t>
  </si>
  <si>
    <t>1739343.6531098995</t>
  </si>
  <si>
    <t>1872177.809470064</t>
  </si>
  <si>
    <t>1618580.823587994</t>
  </si>
  <si>
    <t>190.01788393427</t>
  </si>
  <si>
    <t>204.52960234058997</t>
  </si>
  <si>
    <t>176.82492043758</t>
  </si>
  <si>
    <t>4764783.743459795</t>
  </si>
  <si>
    <t>5100721.112551679</t>
  </si>
  <si>
    <t>4447224.103546336</t>
  </si>
  <si>
    <t>467.24189719835</t>
  </si>
  <si>
    <t>407.37954135423996</t>
  </si>
  <si>
    <t>162.50053985858</t>
  </si>
  <si>
    <t>150.92753101527</t>
  </si>
  <si>
    <t>321.08278950054</t>
  </si>
  <si>
    <t>301.34728968857</t>
  </si>
  <si>
    <t>444127.7857936989</t>
  </si>
  <si>
    <t>479128.88561339007</t>
  </si>
  <si>
    <t>413222.08636814856</t>
  </si>
  <si>
    <t>127.83990313766</t>
  </si>
  <si>
    <t>137.91479003686</t>
  </si>
  <si>
    <t>118.94385621751</t>
  </si>
  <si>
    <t>2740386.8965475187</t>
  </si>
  <si>
    <t>2963580.6318829795</t>
  </si>
  <si>
    <t>2529649.15316939</t>
  </si>
  <si>
    <t>439.86944067499996</t>
  </si>
  <si>
    <t>475.69507670029</t>
  </si>
  <si>
    <t>406.04316109906995</t>
  </si>
  <si>
    <t>193.76914013494</t>
  </si>
  <si>
    <t>209.45485190353</t>
  </si>
  <si>
    <t>179.69327043264</t>
  </si>
  <si>
    <t>453.38287378396</t>
  </si>
  <si>
    <t>489.86486177191</t>
  </si>
  <si>
    <t>420.73317831245</t>
  </si>
  <si>
    <t>2580336.48789852</t>
  </si>
  <si>
    <t>2818752.289818231</t>
  </si>
  <si>
    <t>2359632.820501646</t>
  </si>
  <si>
    <t>147.24058495069</t>
  </si>
  <si>
    <t>160.84519903912</t>
  </si>
  <si>
    <t>134.64667045904</t>
  </si>
  <si>
    <t>7775867.220396284</t>
  </si>
  <si>
    <t>8475543.837113742</t>
  </si>
  <si>
    <t>7132580.360768467</t>
  </si>
  <si>
    <t>317.57107376049</t>
  </si>
  <si>
    <t>346.14628577971</t>
  </si>
  <si>
    <t>291.29885318911005</t>
  </si>
  <si>
    <t>182.98012816852</t>
  </si>
  <si>
    <t>166.85235465144</t>
  </si>
  <si>
    <t>279.21624453146</t>
  </si>
  <si>
    <t>258.12178183657</t>
  </si>
  <si>
    <t>2557861.6833560453</t>
  </si>
  <si>
    <t>2824272.604223204</t>
  </si>
  <si>
    <t>2314673.052579693</t>
  </si>
  <si>
    <t>149.17825661436</t>
  </si>
  <si>
    <t>164.71573347505</t>
  </si>
  <si>
    <t>134.99513787744</t>
  </si>
  <si>
    <t>6505130.998543365</t>
  </si>
  <si>
    <t>7135847.396500188</t>
  </si>
  <si>
    <t>5906492.14202201</t>
  </si>
  <si>
    <t>297.71668400761</t>
  </si>
  <si>
    <t>326.58232784952</t>
  </si>
  <si>
    <t>270.31911502375</t>
  </si>
  <si>
    <t>169.27921408222</t>
  </si>
  <si>
    <t>186.10210854529</t>
  </si>
  <si>
    <t>152.15380418328002</t>
  </si>
  <si>
    <t>246.75641898527002</t>
  </si>
  <si>
    <t>268.31590814659</t>
  </si>
  <si>
    <t>227.41936793112</t>
  </si>
  <si>
    <t>1735455.5990113916</t>
  </si>
  <si>
    <t>1894155.8346410547</t>
  </si>
  <si>
    <t>1586049.1809473354</t>
  </si>
  <si>
    <t>161.36693218672002</t>
  </si>
  <si>
    <t>176.12327062341998</t>
  </si>
  <si>
    <t>147.47475577741</t>
  </si>
  <si>
    <t>4135227.790537528</t>
  </si>
  <si>
    <t>4512465.923322024</t>
  </si>
  <si>
    <t>3776896.6278213854</t>
  </si>
  <si>
    <t>317.11108815329</t>
  </si>
  <si>
    <t>346.03969882232</t>
  </si>
  <si>
    <t>289.63236371925</t>
  </si>
  <si>
    <t>158.37205505807</t>
  </si>
  <si>
    <t>172.60899850646</t>
  </si>
  <si>
    <t>144.94953840681</t>
  </si>
  <si>
    <t>250.53200087566</t>
  </si>
  <si>
    <t>271.21762189173</t>
  </si>
  <si>
    <t>231.08513499676002</t>
  </si>
  <si>
    <t>406191.17273782514</t>
  </si>
  <si>
    <t>438734.27918283</t>
  </si>
  <si>
    <t>374948.1968751835</t>
  </si>
  <si>
    <t>1574272.3522764556</t>
  </si>
  <si>
    <t>1696780.7066607743</t>
  </si>
  <si>
    <t>1459947.48762337</t>
  </si>
  <si>
    <t>138.92788362580998</t>
  </si>
  <si>
    <t>128.83883425065</t>
  </si>
  <si>
    <t>150.19034664529</t>
  </si>
  <si>
    <t>162.87473198012</t>
  </si>
  <si>
    <t>139.12959403323998</t>
  </si>
  <si>
    <t>228.36417735771</t>
  </si>
  <si>
    <t>246.33296124252</t>
  </si>
  <si>
    <t>212.04842368407</t>
  </si>
  <si>
    <t>1317377.699523202</t>
  </si>
  <si>
    <t>1431712.9885253657</t>
  </si>
  <si>
    <t>1216958.4340528594</t>
  </si>
  <si>
    <t>111.30528623509</t>
  </si>
  <si>
    <t>120.96547865656001</t>
  </si>
  <si>
    <t>102.82085911085</t>
  </si>
  <si>
    <t>5214428.353098687</t>
  </si>
  <si>
    <t>5636512.272159008</t>
  </si>
  <si>
    <t>4811617.52538237</t>
  </si>
  <si>
    <t>271.42756247018</t>
  </si>
  <si>
    <t>293.39837145451</t>
  </si>
  <si>
    <t>250.45997912259</t>
  </si>
  <si>
    <t>160.64085770094002</t>
  </si>
  <si>
    <t>175.07759656326</t>
  </si>
  <si>
    <t>148.20581920004</t>
  </si>
  <si>
    <t>293.83066357838</t>
  </si>
  <si>
    <t>317.36754080075</t>
  </si>
  <si>
    <t>272.02322489195</t>
  </si>
  <si>
    <t>462424.2119015688</t>
  </si>
  <si>
    <t>502353.94906795246</t>
  </si>
  <si>
    <t>427623.0629726646</t>
  </si>
  <si>
    <t>97.86447085284001</t>
  </si>
  <si>
    <t>1831462.1669688688</t>
  </si>
  <si>
    <t>1987875.5025799023</t>
  </si>
  <si>
    <t>1693032.6013914058</t>
  </si>
  <si>
    <t>163.90645268058</t>
  </si>
  <si>
    <t>177.90464246266998</t>
  </si>
  <si>
    <t>142.24398824415</t>
  </si>
  <si>
    <t>240.69603913747002</t>
  </si>
  <si>
    <t>260.53755875957</t>
  </si>
  <si>
    <t>222.66193376044998</t>
  </si>
  <si>
    <t>1672544.1671374072</t>
  </si>
  <si>
    <t>1808133.3962244047</t>
  </si>
  <si>
    <t>1543947.0718543087</t>
  </si>
  <si>
    <t>188.63468051621</t>
  </si>
  <si>
    <t>203.92685121807</t>
  </si>
  <si>
    <t>174.13110419179</t>
  </si>
  <si>
    <t>4929873.374128652</t>
  </si>
  <si>
    <t>5266838.351181571</t>
  </si>
  <si>
    <t>4603212.811181433</t>
  </si>
  <si>
    <t>450.60861730684996</t>
  </si>
  <si>
    <t>481.40845958829</t>
  </si>
  <si>
    <t>420.75063649728</t>
  </si>
  <si>
    <t>164.60643198603</t>
  </si>
  <si>
    <t>151.95981712564</t>
  </si>
  <si>
    <t>358.30630513949</t>
  </si>
  <si>
    <t>314.70514666031</t>
  </si>
  <si>
    <t>number</t>
  </si>
  <si>
    <t>rate</t>
  </si>
  <si>
    <t>AAPC</t>
  </si>
  <si>
    <t>23911320.58(22140751.31,25788088.77)</t>
  </si>
  <si>
    <t>280.33(260.06,302.15)</t>
  </si>
  <si>
    <t>3.80(3.76,3.83)</t>
  </si>
  <si>
    <t>4929873.37(4603212.81,5266838.35)</t>
  </si>
  <si>
    <t>335.02(314.71,358.31)</t>
  </si>
  <si>
    <t>5.50(5.44,5.55)</t>
  </si>
  <si>
    <t>4135227.79(3776896.63,4512465.92)</t>
  </si>
  <si>
    <t>250.53(231.09,271.22)</t>
  </si>
  <si>
    <t>3.08(3.05,3.12)</t>
  </si>
  <si>
    <t>7775867.22(7132580.36,8475543.84)</t>
  </si>
  <si>
    <t>279.22(258.12,302.99)</t>
  </si>
  <si>
    <t>3.26(3.23,3.29)</t>
  </si>
  <si>
    <t>5214428.35(4811617.53,5636512.27)</t>
  </si>
  <si>
    <t>293.83(272.02,317.37)</t>
  </si>
  <si>
    <t>4.36(4.33,4.39)</t>
  </si>
  <si>
    <t>1831462.17(1693032.6,1987875.5)</t>
  </si>
  <si>
    <t>240.7(222.66,260.54)</t>
  </si>
  <si>
    <t>2.87(2.85,2.89)</t>
  </si>
  <si>
    <t>4764783.74(4447224.1,5100721.11)</t>
  </si>
  <si>
    <t>321.08(301.35,342)</t>
  </si>
  <si>
    <t>5.12(5.08,5.17)</t>
  </si>
  <si>
    <t>2740386.9(2529649.15,2963580.63)</t>
  </si>
  <si>
    <t>453.38(420.73,489.86)</t>
  </si>
  <si>
    <t>8.58(8.54,8.62)</t>
  </si>
  <si>
    <t>2166746.64(1996241.75,2340335.94)</t>
  </si>
  <si>
    <t>334.67(308.75,361.18)</t>
  </si>
  <si>
    <t>2.93(2.84,3.02)</t>
  </si>
  <si>
    <t>4939344.57(4503489.42,5418417.63)</t>
  </si>
  <si>
    <t>271.08(247.81,295.78)</t>
  </si>
  <si>
    <t>3.58(3.53,3.63)</t>
  </si>
  <si>
    <t>1574272.35(1459947.49,1696780.71)</t>
  </si>
  <si>
    <t>228.36(212.05,246.33)</t>
  </si>
  <si>
    <t>2.57(2.55,2.58)</t>
  </si>
  <si>
    <t>1220655.38(1114757.45,1330316.32)</t>
  </si>
  <si>
    <t>224.08(206.28,243.14)</t>
  </si>
  <si>
    <t>3.30(3.27,3.34)</t>
  </si>
  <si>
    <t>6505131(5906492.14,7135847.4)</t>
  </si>
  <si>
    <t>246.76(227.42,268.32)</t>
  </si>
  <si>
    <t>2.70(2.65,2.75)</t>
  </si>
  <si>
    <t>506037583.62(469995870.88,545298325.38)</t>
  </si>
  <si>
    <t>5885.4(5467.62,6334.18)</t>
  </si>
  <si>
    <t>92.48(90.47,94.49)</t>
  </si>
  <si>
    <t>115092212.52(108298781.26,122529460.46)</t>
  </si>
  <si>
    <t>6575.42(6168.31,7011.14)</t>
  </si>
  <si>
    <t>119.71(118.06,121.37)</t>
  </si>
  <si>
    <t>100416140.08(93059309.99,108445471.66)</t>
  </si>
  <si>
    <t>5516.76(5107.8,5953.5)</t>
  </si>
  <si>
    <t>82.62(81.95,83.29)</t>
  </si>
  <si>
    <t>162027508.69(149820600.03,176064658.78)</t>
  </si>
  <si>
    <t>5858.41(5428.41,6366.29)</t>
  </si>
  <si>
    <t>79.33(78.12,80.54)</t>
  </si>
  <si>
    <t>97058523.04(89154782.94,104853564.21)</t>
  </si>
  <si>
    <t>5984.71(5504.2,6477.63)</t>
  </si>
  <si>
    <t>101.13(100.32,101.93)</t>
  </si>
  <si>
    <t>30962878.92(28466753.2,33571109.13)</t>
  </si>
  <si>
    <t>4750.71(4367.52,5151.12)</t>
  </si>
  <si>
    <t>73.00(72.57,73.43)</t>
  </si>
  <si>
    <t>112428625.89(105864396.36,119939344.99)</t>
  </si>
  <si>
    <t>6228.98(5834.47,6639.81)</t>
  </si>
  <si>
    <t>109.26(108.01,110.51)</t>
  </si>
  <si>
    <t>47054389.64(43672408.1,50752953.79)</t>
  </si>
  <si>
    <t>8961.36(8330.52,9640.41)</t>
  </si>
  <si>
    <t>179.73(179.06,180.41)</t>
  </si>
  <si>
    <t>41447961.52(38253940.36,44828459.62)</t>
  </si>
  <si>
    <t>6520.2(6023.92,7050.06)</t>
  </si>
  <si>
    <t>67.57(65.69,69.45)</t>
  </si>
  <si>
    <t>98445161.4(89269721.5,108080237.4)</t>
  </si>
  <si>
    <t>5863.39(5320.13,6426.82)</t>
  </si>
  <si>
    <t>90.56(89.50,91.62)</t>
  </si>
  <si>
    <t>24702115.5(22683734.93,26782029.37)</t>
  </si>
  <si>
    <t>4054.76(3745.77,4389.31)</t>
  </si>
  <si>
    <t>61.58(61.27,61.89)</t>
  </si>
  <si>
    <t>25963290.62(23906994.07,28224144.2)</t>
  </si>
  <si>
    <t>4254.57(3912.28,4625.18)</t>
  </si>
  <si>
    <t>65.79(65.46,66.12)</t>
  </si>
  <si>
    <t>155996039.06(143961064.05,169626551.21)</t>
  </si>
  <si>
    <t>5633.69(5192.98,6106.61)</t>
  </si>
  <si>
    <t>77.93(75.62,80.24)</t>
  </si>
  <si>
    <t>1608123.22(1493437.7,1708293.64)</t>
  </si>
  <si>
    <t>19.02(17.57,20.2)</t>
  </si>
  <si>
    <t>0.06(0.06,0.07)</t>
  </si>
  <si>
    <t>201593.74(178953.37,213767.74)</t>
  </si>
  <si>
    <t>8.86(7.97,9.33)</t>
  </si>
  <si>
    <t>-0.12(-0.12,-0.11)</t>
  </si>
  <si>
    <t>234999.04(212680.34,254106.76)</t>
  </si>
  <si>
    <t>11.98(10.82,12.97)</t>
  </si>
  <si>
    <t>0.00(-0.01,0.00)</t>
  </si>
  <si>
    <t>577559.9(535862.17,614261.38)</t>
  </si>
  <si>
    <t>22.94(21.19,24.4)</t>
  </si>
  <si>
    <t>0.09(0.08,0.10)</t>
  </si>
  <si>
    <t>437451.44(399916.75,474443.53)</t>
  </si>
  <si>
    <t>34.29(31.31,37.19)</t>
  </si>
  <si>
    <t>0.30(0.28,0.32)</t>
  </si>
  <si>
    <t>154565.94(139065.44,172691.76)</t>
  </si>
  <si>
    <t>35.87(32.3,39.94)</t>
  </si>
  <si>
    <t>0.06(0.05,0.07)</t>
  </si>
  <si>
    <t>204662.12(179496.64,218367.19)</t>
  </si>
  <si>
    <t>8.33(7.47,8.81)</t>
  </si>
  <si>
    <t>-0.16(-0.16,-0.15)</t>
  </si>
  <si>
    <t>113250.72(100173.92,126911.28)</t>
  </si>
  <si>
    <t>28.88(25.57,32.14)</t>
  </si>
  <si>
    <t>0.17(0.15,0.19)</t>
  </si>
  <si>
    <t>216349.62(197951.08,233330.64)</t>
  </si>
  <si>
    <t>35.58(32.49,38.37)</t>
  </si>
  <si>
    <t>-0.06(-0.09,-0.03)</t>
  </si>
  <si>
    <t>410254.08(364228.65,452153.73)</t>
  </si>
  <si>
    <t>31.95(28.46,35.19)</t>
  </si>
  <si>
    <t>0.28(0.24,0.32)</t>
  </si>
  <si>
    <t>184643.57(167915.16,204040.12)</t>
  </si>
  <si>
    <t>46.15(42.11,50.46)</t>
  </si>
  <si>
    <t>0.20(0.18,0.21)</t>
  </si>
  <si>
    <t>88181.03(82199.8,93046.43)</t>
  </si>
  <si>
    <t>13.26(12.36,13.99)</t>
  </si>
  <si>
    <t>0.21(0.19,0.23)</t>
  </si>
  <si>
    <t>390782.09(351368.53,428483.04)</t>
  </si>
  <si>
    <t>14.55(13.07,16.01)</t>
  </si>
  <si>
    <t>0.01(0.00,0.01)</t>
  </si>
  <si>
    <t>75340873.71(63483094.23,90254281.75)</t>
  </si>
  <si>
    <t>871.78(735.05,1044.78)</t>
  </si>
  <si>
    <t>8.44(8.35,8.54)</t>
  </si>
  <si>
    <t>12421027.22(9861777.85,15785615.38)</t>
  </si>
  <si>
    <t>667.54(523.84,853.83)</t>
  </si>
  <si>
    <t>6.50(6.39,6.62)</t>
  </si>
  <si>
    <t>12231452.24(9946570.84,14957461.21)</t>
  </si>
  <si>
    <t>641.67(516.91,788.33)</t>
  </si>
  <si>
    <t>5.66(5.53,5.80)</t>
  </si>
  <si>
    <t>26084565.56(22169178.43,30907857.56)</t>
  </si>
  <si>
    <t>952.52(811.6,1124.1)</t>
  </si>
  <si>
    <t>7.84(7.57,8.10)</t>
  </si>
  <si>
    <t>18042396.59(15414619.65,21210334.86)</t>
  </si>
  <si>
    <t>1209.62(1045.25,1411.33)</t>
  </si>
  <si>
    <t>13.89(13.63,14.14)</t>
  </si>
  <si>
    <t>6474332.42(5608420.45,7601172)</t>
  </si>
  <si>
    <t>1172.94(1026.09,1362.03)</t>
  </si>
  <si>
    <t>5.82(5.63,6.00)</t>
  </si>
  <si>
    <t>12090038.38(9584296.8,15402071.68)</t>
  </si>
  <si>
    <t>625.6(489.14,802.75)</t>
  </si>
  <si>
    <t>5.16(5.08,5.25)</t>
  </si>
  <si>
    <t>6306449.28(5148287.23,7933908.81)</t>
  </si>
  <si>
    <t>1306.72(1081.87,1628.68)</t>
  </si>
  <si>
    <t>17.51(17.31,17.72)</t>
  </si>
  <si>
    <t>8795694.96(7579823.23,10410829.37)</t>
  </si>
  <si>
    <t>1396.01(1202.9,1650.1)</t>
  </si>
  <si>
    <t>4.35(3.68,5.03)</t>
  </si>
  <si>
    <t>16851967.79(14173188.13,19903034.21)</t>
  </si>
  <si>
    <t>1103.98(940.98,1291.72)</t>
  </si>
  <si>
    <t>11.91(11.49,12.32)</t>
  </si>
  <si>
    <t>6853738.68(6099562.07,7954124.37)</t>
  </si>
  <si>
    <t>1340.8(1202.64,1538.26)</t>
  </si>
  <si>
    <t>8.05(7.81,8.29)</t>
  </si>
  <si>
    <t>4122922.75(3437709.38,5039610.67)</t>
  </si>
  <si>
    <t>650.04(537.4,796.42)</t>
  </si>
  <si>
    <t>9.45(9.02,9.87)</t>
  </si>
  <si>
    <t>20320061.86(16734359.31,24922307.29)</t>
  </si>
  <si>
    <t>717.39(590.5,880)</t>
  </si>
  <si>
    <t>5.27(5.07,5.48)</t>
  </si>
  <si>
    <t>Male</t>
  </si>
  <si>
    <t>Female</t>
  </si>
  <si>
    <t>DALYs</t>
  </si>
  <si>
    <t>male</t>
  </si>
  <si>
    <t>12420567.49(11528915.4,13394276.5)</t>
  </si>
  <si>
    <t>294.2(273.84,317.27)</t>
  </si>
  <si>
    <t>4.05(4.02,4.09)</t>
  </si>
  <si>
    <t>261014901.62(242372927.84,281160406.34)</t>
  </si>
  <si>
    <t>6289.67(5849.06,6762.47)</t>
  </si>
  <si>
    <t>97.88(96.66,99.09)</t>
  </si>
  <si>
    <t>770597.49(713162.28,832342.56)</t>
  </si>
  <si>
    <t>20.27(18.67,21.86)</t>
  </si>
  <si>
    <t>0.08(0.08,0.09)</t>
  </si>
  <si>
    <t>38191926.58(31794355.27,46244866.86)</t>
  </si>
  <si>
    <t>929.61(776.44,1122.73)</t>
  </si>
  <si>
    <t>9.49(9.39,9.59)</t>
  </si>
  <si>
    <t>female</t>
  </si>
  <si>
    <t>11490753.09(10626231.58,12400713.85)</t>
  </si>
  <si>
    <t>266.47(246.61,287.53)</t>
  </si>
  <si>
    <t xml:space="preserve"> 3.52(3.50,3.54)</t>
  </si>
  <si>
    <t>245022682(227664582.03,264112083.01)</t>
  </si>
  <si>
    <t>5507.4(5112.72,5935.51)</t>
  </si>
  <si>
    <t>86.52(85.11,87.92)</t>
  </si>
  <si>
    <t>837525.74(767606.77,896271.18)</t>
  </si>
  <si>
    <t>18.03(16.54,19.29)</t>
  </si>
  <si>
    <t>0.05(0.04,0.05)</t>
  </si>
  <si>
    <t>37148947.13(31476023.97,44557142.5)</t>
  </si>
  <si>
    <t>819.39(693.17,983.1)</t>
  </si>
  <si>
    <t>7.42(7.32,7.52)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</si>
</sst>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Border="1" applyAlignment="1" applyProtection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313"/>
  <sheetViews>
    <sheetView workbookViewId="0">
      <selection activeCell="A1" sqref="$A1:$XFD1048576"/>
    </sheetView>
  </sheetViews>
  <sheetFormatPr defaultColWidth="9" defaultRowHeight="14"/>
  <cols>
    <col min="12" max="16" width="12.6666666666667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4"/>
      <c r="M1" s="4"/>
      <c r="N1" s="4"/>
      <c r="O1" s="4"/>
      <c r="P1" s="4"/>
      <c r="Q1" s="4"/>
      <c r="R1" s="4" t="s">
        <v>10</v>
      </c>
      <c r="S1" s="4"/>
      <c r="T1" s="4"/>
      <c r="U1" s="4"/>
    </row>
    <row r="2" hidden="1" spans="1:2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1991</v>
      </c>
      <c r="H2" s="6" t="s">
        <v>17</v>
      </c>
      <c r="I2" s="6" t="s">
        <v>18</v>
      </c>
      <c r="J2" s="6" t="s">
        <v>19</v>
      </c>
      <c r="K2" s="1"/>
      <c r="L2" s="4">
        <f>ROUND(H2,2)</f>
        <v>187581.18</v>
      </c>
      <c r="M2" s="4" t="s">
        <v>20</v>
      </c>
      <c r="N2" s="4">
        <f>ROUND(I2,2)</f>
        <v>197299.52</v>
      </c>
      <c r="O2" s="4" t="s">
        <v>21</v>
      </c>
      <c r="P2" s="4">
        <f>ROUND(J2,2)</f>
        <v>177524.65</v>
      </c>
      <c r="Q2" s="4" t="s">
        <v>22</v>
      </c>
      <c r="R2" s="4" t="str">
        <f>L2&amp;M2&amp;P2&amp;O2&amp;N2&amp;Q2</f>
        <v>187581.18(177524.65,197299.52)</v>
      </c>
      <c r="S2" s="4"/>
      <c r="T2" s="4"/>
      <c r="U2" s="4"/>
    </row>
    <row r="3" hidden="1" spans="1:2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23</v>
      </c>
      <c r="G3" s="1">
        <v>1991</v>
      </c>
      <c r="H3" s="6" t="s">
        <v>24</v>
      </c>
      <c r="I3" s="6" t="s">
        <v>25</v>
      </c>
      <c r="J3" s="6" t="s">
        <v>26</v>
      </c>
      <c r="K3" s="1"/>
      <c r="L3" s="4">
        <f t="shared" ref="L3:L10" si="0">ROUND(H3,2)</f>
        <v>10.7</v>
      </c>
      <c r="M3" s="4" t="s">
        <v>20</v>
      </c>
      <c r="N3" s="4">
        <f t="shared" ref="N3:N66" si="1">ROUND(I3,2)</f>
        <v>11.26</v>
      </c>
      <c r="O3" s="4" t="s">
        <v>21</v>
      </c>
      <c r="P3" s="4">
        <f t="shared" ref="P3:P66" si="2">ROUND(J3,2)</f>
        <v>10.13</v>
      </c>
      <c r="Q3" s="4" t="s">
        <v>22</v>
      </c>
      <c r="R3" s="4" t="str">
        <f t="shared" ref="R3:R66" si="3">L3&amp;M3&amp;P3&amp;O3&amp;N3&amp;Q3</f>
        <v>10.7(10.13,11.26)</v>
      </c>
      <c r="S3" s="4"/>
      <c r="T3" s="4"/>
      <c r="U3" s="4"/>
    </row>
    <row r="4" hidden="1" spans="1:21">
      <c r="A4" s="1" t="s">
        <v>11</v>
      </c>
      <c r="B4" s="1" t="s">
        <v>12</v>
      </c>
      <c r="C4" s="1" t="s">
        <v>13</v>
      </c>
      <c r="D4" s="1" t="s">
        <v>27</v>
      </c>
      <c r="E4" s="1" t="s">
        <v>15</v>
      </c>
      <c r="F4" s="1" t="s">
        <v>23</v>
      </c>
      <c r="G4" s="1">
        <v>1991</v>
      </c>
      <c r="H4" s="6" t="s">
        <v>28</v>
      </c>
      <c r="I4" s="6" t="s">
        <v>29</v>
      </c>
      <c r="J4" s="6" t="s">
        <v>30</v>
      </c>
      <c r="K4" s="1"/>
      <c r="L4" s="4">
        <f t="shared" si="0"/>
        <v>20.48</v>
      </c>
      <c r="M4" s="4" t="s">
        <v>20</v>
      </c>
      <c r="N4" s="4">
        <f t="shared" si="1"/>
        <v>21.6</v>
      </c>
      <c r="O4" s="4" t="s">
        <v>21</v>
      </c>
      <c r="P4" s="4">
        <f t="shared" si="2"/>
        <v>19.15</v>
      </c>
      <c r="Q4" s="4" t="s">
        <v>22</v>
      </c>
      <c r="R4" s="4" t="str">
        <f t="shared" si="3"/>
        <v>20.48(19.15,21.6)</v>
      </c>
      <c r="S4" s="4"/>
      <c r="T4" s="4"/>
      <c r="U4" s="4"/>
    </row>
    <row r="5" hidden="1" spans="1:21">
      <c r="A5" s="1" t="s">
        <v>11</v>
      </c>
      <c r="B5" s="1" t="s">
        <v>31</v>
      </c>
      <c r="C5" s="1" t="s">
        <v>13</v>
      </c>
      <c r="D5" s="1" t="s">
        <v>14</v>
      </c>
      <c r="E5" s="1" t="s">
        <v>15</v>
      </c>
      <c r="F5" s="1" t="s">
        <v>16</v>
      </c>
      <c r="G5" s="1">
        <v>1991</v>
      </c>
      <c r="H5" s="6" t="s">
        <v>32</v>
      </c>
      <c r="I5" s="6" t="s">
        <v>33</v>
      </c>
      <c r="J5" s="6" t="s">
        <v>34</v>
      </c>
      <c r="K5" s="1"/>
      <c r="L5" s="4">
        <f t="shared" si="0"/>
        <v>69676.43</v>
      </c>
      <c r="M5" s="4" t="s">
        <v>20</v>
      </c>
      <c r="N5" s="4">
        <f t="shared" si="1"/>
        <v>78130.1</v>
      </c>
      <c r="O5" s="4" t="s">
        <v>21</v>
      </c>
      <c r="P5" s="4">
        <f t="shared" si="2"/>
        <v>63064.93</v>
      </c>
      <c r="Q5" s="4" t="s">
        <v>22</v>
      </c>
      <c r="R5" s="4" t="str">
        <f t="shared" si="3"/>
        <v>69676.43(63064.93,78130.1)</v>
      </c>
      <c r="S5" s="4"/>
      <c r="T5" s="4"/>
      <c r="U5" s="4"/>
    </row>
    <row r="6" hidden="1" spans="1:21">
      <c r="A6" s="1" t="s">
        <v>11</v>
      </c>
      <c r="B6" s="1" t="s">
        <v>31</v>
      </c>
      <c r="C6" s="1" t="s">
        <v>13</v>
      </c>
      <c r="D6" s="1" t="s">
        <v>14</v>
      </c>
      <c r="E6" s="1" t="s">
        <v>15</v>
      </c>
      <c r="F6" s="1" t="s">
        <v>23</v>
      </c>
      <c r="G6" s="1">
        <v>1991</v>
      </c>
      <c r="H6" s="6" t="s">
        <v>35</v>
      </c>
      <c r="I6" s="6" t="s">
        <v>36</v>
      </c>
      <c r="J6" s="6" t="s">
        <v>37</v>
      </c>
      <c r="K6" s="1"/>
      <c r="L6" s="4">
        <f t="shared" si="0"/>
        <v>13.57</v>
      </c>
      <c r="M6" s="4" t="s">
        <v>20</v>
      </c>
      <c r="N6" s="4">
        <f t="shared" si="1"/>
        <v>15.22</v>
      </c>
      <c r="O6" s="4" t="s">
        <v>21</v>
      </c>
      <c r="P6" s="4">
        <f t="shared" si="2"/>
        <v>12.29</v>
      </c>
      <c r="Q6" s="4" t="s">
        <v>22</v>
      </c>
      <c r="R6" s="4" t="str">
        <f t="shared" si="3"/>
        <v>13.57(12.29,15.22)</v>
      </c>
      <c r="S6" s="4"/>
      <c r="T6" s="4"/>
      <c r="U6" s="4"/>
    </row>
    <row r="7" hidden="1" spans="1:21">
      <c r="A7" s="1" t="s">
        <v>11</v>
      </c>
      <c r="B7" s="1" t="s">
        <v>31</v>
      </c>
      <c r="C7" s="1" t="s">
        <v>13</v>
      </c>
      <c r="D7" s="1" t="s">
        <v>27</v>
      </c>
      <c r="E7" s="1" t="s">
        <v>15</v>
      </c>
      <c r="F7" s="1" t="s">
        <v>23</v>
      </c>
      <c r="G7" s="1">
        <v>1991</v>
      </c>
      <c r="H7" s="6" t="s">
        <v>38</v>
      </c>
      <c r="I7" s="6" t="s">
        <v>39</v>
      </c>
      <c r="J7" s="6" t="s">
        <v>40</v>
      </c>
      <c r="K7" s="1"/>
      <c r="L7" s="4">
        <f t="shared" si="0"/>
        <v>34.58</v>
      </c>
      <c r="M7" s="4" t="s">
        <v>20</v>
      </c>
      <c r="N7" s="4">
        <f t="shared" si="1"/>
        <v>38.71</v>
      </c>
      <c r="O7" s="4" t="s">
        <v>21</v>
      </c>
      <c r="P7" s="4">
        <f t="shared" si="2"/>
        <v>31.25</v>
      </c>
      <c r="Q7" s="4" t="s">
        <v>22</v>
      </c>
      <c r="R7" s="4" t="str">
        <f t="shared" si="3"/>
        <v>34.58(31.25,38.71)</v>
      </c>
      <c r="S7" s="4"/>
      <c r="T7" s="4"/>
      <c r="U7" s="4"/>
    </row>
    <row r="8" hidden="1" spans="1:21">
      <c r="A8" s="1" t="s">
        <v>11</v>
      </c>
      <c r="B8" s="1" t="s">
        <v>41</v>
      </c>
      <c r="C8" s="1" t="s">
        <v>13</v>
      </c>
      <c r="D8" s="1" t="s">
        <v>14</v>
      </c>
      <c r="E8" s="1" t="s">
        <v>15</v>
      </c>
      <c r="F8" s="1" t="s">
        <v>16</v>
      </c>
      <c r="G8" s="1">
        <v>1991</v>
      </c>
      <c r="H8" s="6" t="s">
        <v>42</v>
      </c>
      <c r="I8" s="6" t="s">
        <v>43</v>
      </c>
      <c r="J8" s="6" t="s">
        <v>44</v>
      </c>
      <c r="K8" s="1"/>
      <c r="L8" s="4">
        <f t="shared" si="0"/>
        <v>115594.89</v>
      </c>
      <c r="M8" s="4" t="s">
        <v>20</v>
      </c>
      <c r="N8" s="4">
        <f t="shared" si="1"/>
        <v>125941.53</v>
      </c>
      <c r="O8" s="4" t="s">
        <v>21</v>
      </c>
      <c r="P8" s="4">
        <f t="shared" si="2"/>
        <v>102942.54</v>
      </c>
      <c r="Q8" s="4" t="s">
        <v>22</v>
      </c>
      <c r="R8" s="4" t="str">
        <f t="shared" si="3"/>
        <v>115594.89(102942.54,125941.53)</v>
      </c>
      <c r="S8" s="4"/>
      <c r="T8" s="4"/>
      <c r="U8" s="4"/>
    </row>
    <row r="9" hidden="1" spans="1:21">
      <c r="A9" s="1" t="s">
        <v>11</v>
      </c>
      <c r="B9" s="1" t="s">
        <v>41</v>
      </c>
      <c r="C9" s="1" t="s">
        <v>13</v>
      </c>
      <c r="D9" s="1" t="s">
        <v>14</v>
      </c>
      <c r="E9" s="1" t="s">
        <v>15</v>
      </c>
      <c r="F9" s="1" t="s">
        <v>23</v>
      </c>
      <c r="G9" s="1">
        <v>1991</v>
      </c>
      <c r="H9" s="6" t="s">
        <v>45</v>
      </c>
      <c r="I9" s="6" t="s">
        <v>46</v>
      </c>
      <c r="J9" s="6" t="s">
        <v>47</v>
      </c>
      <c r="K9" s="1"/>
      <c r="L9" s="4">
        <f t="shared" si="0"/>
        <v>10.37</v>
      </c>
      <c r="M9" s="4" t="s">
        <v>20</v>
      </c>
      <c r="N9" s="4">
        <f t="shared" si="1"/>
        <v>11.3</v>
      </c>
      <c r="O9" s="4" t="s">
        <v>21</v>
      </c>
      <c r="P9" s="4">
        <f t="shared" si="2"/>
        <v>9.24</v>
      </c>
      <c r="Q9" s="4" t="s">
        <v>22</v>
      </c>
      <c r="R9" s="4" t="str">
        <f t="shared" si="3"/>
        <v>10.37(9.24,11.3)</v>
      </c>
      <c r="S9" s="4"/>
      <c r="T9" s="4"/>
      <c r="U9" s="4"/>
    </row>
    <row r="10" hidden="1" spans="1:21">
      <c r="A10" s="1" t="s">
        <v>11</v>
      </c>
      <c r="B10" s="1" t="s">
        <v>41</v>
      </c>
      <c r="C10" s="1" t="s">
        <v>13</v>
      </c>
      <c r="D10" s="1" t="s">
        <v>27</v>
      </c>
      <c r="E10" s="1" t="s">
        <v>15</v>
      </c>
      <c r="F10" s="1" t="s">
        <v>23</v>
      </c>
      <c r="G10" s="1">
        <v>1991</v>
      </c>
      <c r="H10" s="6" t="s">
        <v>48</v>
      </c>
      <c r="I10" s="6" t="s">
        <v>49</v>
      </c>
      <c r="J10" s="6" t="s">
        <v>50</v>
      </c>
      <c r="K10" s="1"/>
      <c r="L10" s="4">
        <f t="shared" si="0"/>
        <v>23.55</v>
      </c>
      <c r="M10" s="4" t="s">
        <v>20</v>
      </c>
      <c r="N10" s="4">
        <f t="shared" si="1"/>
        <v>25.75</v>
      </c>
      <c r="O10" s="4" t="s">
        <v>21</v>
      </c>
      <c r="P10" s="4">
        <f t="shared" si="2"/>
        <v>20.72</v>
      </c>
      <c r="Q10" s="4" t="s">
        <v>22</v>
      </c>
      <c r="R10" s="4" t="str">
        <f t="shared" si="3"/>
        <v>23.55(20.72,25.75)</v>
      </c>
      <c r="S10" s="4"/>
      <c r="T10" s="4"/>
      <c r="U10" s="4"/>
    </row>
    <row r="11" hidden="1" spans="1:21">
      <c r="A11" s="1" t="s">
        <v>11</v>
      </c>
      <c r="B11" s="1" t="s">
        <v>51</v>
      </c>
      <c r="C11" s="1" t="s">
        <v>13</v>
      </c>
      <c r="D11" s="1" t="s">
        <v>14</v>
      </c>
      <c r="E11" s="1" t="s">
        <v>15</v>
      </c>
      <c r="F11" s="1" t="s">
        <v>16</v>
      </c>
      <c r="G11" s="1">
        <v>1991</v>
      </c>
      <c r="H11" s="6" t="s">
        <v>52</v>
      </c>
      <c r="I11" s="6" t="s">
        <v>53</v>
      </c>
      <c r="J11" s="6" t="s">
        <v>54</v>
      </c>
      <c r="K11" s="1"/>
      <c r="L11" s="4">
        <f t="shared" ref="L11:L39" si="4">ROUND(H11,2)</f>
        <v>165671</v>
      </c>
      <c r="M11" s="4" t="s">
        <v>20</v>
      </c>
      <c r="N11" s="4">
        <f t="shared" si="1"/>
        <v>172187.76</v>
      </c>
      <c r="O11" s="4" t="s">
        <v>21</v>
      </c>
      <c r="P11" s="4">
        <f t="shared" si="2"/>
        <v>153033.72</v>
      </c>
      <c r="Q11" s="4" t="s">
        <v>22</v>
      </c>
      <c r="R11" s="4" t="str">
        <f t="shared" si="3"/>
        <v>165671(153033.72,172187.76)</v>
      </c>
      <c r="S11" s="4"/>
      <c r="T11" s="4"/>
      <c r="U11" s="4"/>
    </row>
    <row r="12" hidden="1" spans="1:21">
      <c r="A12" s="1" t="s">
        <v>11</v>
      </c>
      <c r="B12" s="1" t="s">
        <v>51</v>
      </c>
      <c r="C12" s="1" t="s">
        <v>13</v>
      </c>
      <c r="D12" s="1" t="s">
        <v>14</v>
      </c>
      <c r="E12" s="1" t="s">
        <v>15</v>
      </c>
      <c r="F12" s="1" t="s">
        <v>23</v>
      </c>
      <c r="G12" s="1">
        <v>1991</v>
      </c>
      <c r="H12" s="6" t="s">
        <v>55</v>
      </c>
      <c r="I12" s="6" t="s">
        <v>56</v>
      </c>
      <c r="J12" s="6" t="s">
        <v>57</v>
      </c>
      <c r="K12" s="1"/>
      <c r="L12" s="4">
        <f t="shared" si="4"/>
        <v>18.1</v>
      </c>
      <c r="M12" s="4" t="s">
        <v>20</v>
      </c>
      <c r="N12" s="4">
        <f t="shared" si="1"/>
        <v>18.81</v>
      </c>
      <c r="O12" s="4" t="s">
        <v>21</v>
      </c>
      <c r="P12" s="4">
        <f t="shared" si="2"/>
        <v>16.72</v>
      </c>
      <c r="Q12" s="4" t="s">
        <v>22</v>
      </c>
      <c r="R12" s="4" t="str">
        <f t="shared" si="3"/>
        <v>18.1(16.72,18.81)</v>
      </c>
      <c r="S12" s="4"/>
      <c r="T12" s="4"/>
      <c r="U12" s="4"/>
    </row>
    <row r="13" hidden="1" spans="1:21">
      <c r="A13" s="1" t="s">
        <v>11</v>
      </c>
      <c r="B13" s="1" t="s">
        <v>51</v>
      </c>
      <c r="C13" s="1" t="s">
        <v>13</v>
      </c>
      <c r="D13" s="1" t="s">
        <v>27</v>
      </c>
      <c r="E13" s="1" t="s">
        <v>15</v>
      </c>
      <c r="F13" s="1" t="s">
        <v>23</v>
      </c>
      <c r="G13" s="1">
        <v>1991</v>
      </c>
      <c r="H13" s="6" t="s">
        <v>58</v>
      </c>
      <c r="I13" s="6" t="s">
        <v>59</v>
      </c>
      <c r="J13" s="6" t="s">
        <v>60</v>
      </c>
      <c r="K13" s="1"/>
      <c r="L13" s="4">
        <f t="shared" si="4"/>
        <v>13.29</v>
      </c>
      <c r="M13" s="4" t="s">
        <v>20</v>
      </c>
      <c r="N13" s="4">
        <f t="shared" si="1"/>
        <v>13.82</v>
      </c>
      <c r="O13" s="4" t="s">
        <v>21</v>
      </c>
      <c r="P13" s="4">
        <f t="shared" si="2"/>
        <v>12.26</v>
      </c>
      <c r="Q13" s="4" t="s">
        <v>22</v>
      </c>
      <c r="R13" s="4" t="str">
        <f t="shared" si="3"/>
        <v>13.29(12.26,13.82)</v>
      </c>
      <c r="S13" s="4"/>
      <c r="T13" s="4"/>
      <c r="U13" s="4"/>
    </row>
    <row r="14" hidden="1" spans="1:21">
      <c r="A14" s="1" t="s">
        <v>11</v>
      </c>
      <c r="B14" s="1" t="s">
        <v>61</v>
      </c>
      <c r="C14" s="1" t="s">
        <v>13</v>
      </c>
      <c r="D14" s="1" t="s">
        <v>14</v>
      </c>
      <c r="E14" s="1" t="s">
        <v>15</v>
      </c>
      <c r="F14" s="1" t="s">
        <v>16</v>
      </c>
      <c r="G14" s="1">
        <v>1991</v>
      </c>
      <c r="H14" s="6" t="s">
        <v>62</v>
      </c>
      <c r="I14" s="6" t="s">
        <v>63</v>
      </c>
      <c r="J14" s="6" t="s">
        <v>64</v>
      </c>
      <c r="K14" s="1"/>
      <c r="L14" s="4">
        <f t="shared" si="4"/>
        <v>34438.68</v>
      </c>
      <c r="M14" s="4" t="s">
        <v>20</v>
      </c>
      <c r="N14" s="4">
        <f t="shared" si="1"/>
        <v>35372.54</v>
      </c>
      <c r="O14" s="4" t="s">
        <v>21</v>
      </c>
      <c r="P14" s="4">
        <f t="shared" si="2"/>
        <v>33239.55</v>
      </c>
      <c r="Q14" s="4" t="s">
        <v>22</v>
      </c>
      <c r="R14" s="4" t="str">
        <f t="shared" si="3"/>
        <v>34438.68(33239.55,35372.54)</v>
      </c>
      <c r="S14" s="4"/>
      <c r="T14" s="4"/>
      <c r="U14" s="4"/>
    </row>
    <row r="15" hidden="1" spans="1:21">
      <c r="A15" s="1" t="s">
        <v>11</v>
      </c>
      <c r="B15" s="1" t="s">
        <v>61</v>
      </c>
      <c r="C15" s="1" t="s">
        <v>13</v>
      </c>
      <c r="D15" s="1" t="s">
        <v>14</v>
      </c>
      <c r="E15" s="1" t="s">
        <v>15</v>
      </c>
      <c r="F15" s="1" t="s">
        <v>23</v>
      </c>
      <c r="G15" s="1">
        <v>1991</v>
      </c>
      <c r="H15" s="6" t="s">
        <v>65</v>
      </c>
      <c r="I15" s="6" t="s">
        <v>66</v>
      </c>
      <c r="J15" s="6" t="s">
        <v>67</v>
      </c>
      <c r="K15" s="1"/>
      <c r="L15" s="4">
        <f t="shared" si="4"/>
        <v>8.16</v>
      </c>
      <c r="M15" s="4" t="s">
        <v>20</v>
      </c>
      <c r="N15" s="4">
        <f t="shared" si="1"/>
        <v>8.38</v>
      </c>
      <c r="O15" s="4" t="s">
        <v>21</v>
      </c>
      <c r="P15" s="4">
        <f t="shared" si="2"/>
        <v>7.87</v>
      </c>
      <c r="Q15" s="4" t="s">
        <v>22</v>
      </c>
      <c r="R15" s="4" t="str">
        <f t="shared" si="3"/>
        <v>8.16(7.87,8.38)</v>
      </c>
      <c r="S15" s="4"/>
      <c r="T15" s="4"/>
      <c r="U15" s="4"/>
    </row>
    <row r="16" hidden="1" spans="1:21">
      <c r="A16" s="1" t="s">
        <v>11</v>
      </c>
      <c r="B16" s="1" t="s">
        <v>61</v>
      </c>
      <c r="C16" s="1" t="s">
        <v>13</v>
      </c>
      <c r="D16" s="1" t="s">
        <v>27</v>
      </c>
      <c r="E16" s="1" t="s">
        <v>15</v>
      </c>
      <c r="F16" s="1" t="s">
        <v>23</v>
      </c>
      <c r="G16" s="1">
        <v>1991</v>
      </c>
      <c r="H16" s="6" t="s">
        <v>68</v>
      </c>
      <c r="I16" s="6" t="s">
        <v>69</v>
      </c>
      <c r="J16" s="6" t="s">
        <v>70</v>
      </c>
      <c r="K16" s="1"/>
      <c r="L16" s="4">
        <f t="shared" si="4"/>
        <v>7.2</v>
      </c>
      <c r="M16" s="4" t="s">
        <v>20</v>
      </c>
      <c r="N16" s="4">
        <f t="shared" si="1"/>
        <v>7.4</v>
      </c>
      <c r="O16" s="4" t="s">
        <v>21</v>
      </c>
      <c r="P16" s="4">
        <f t="shared" si="2"/>
        <v>6.94</v>
      </c>
      <c r="Q16" s="4" t="s">
        <v>22</v>
      </c>
      <c r="R16" s="4" t="str">
        <f t="shared" si="3"/>
        <v>7.2(6.94,7.4)</v>
      </c>
      <c r="S16" s="4"/>
      <c r="T16" s="4"/>
      <c r="U16" s="4"/>
    </row>
    <row r="17" hidden="1" spans="1:21">
      <c r="A17" s="1" t="s">
        <v>11</v>
      </c>
      <c r="B17" s="1" t="s">
        <v>71</v>
      </c>
      <c r="C17" s="1" t="s">
        <v>13</v>
      </c>
      <c r="D17" s="1" t="s">
        <v>14</v>
      </c>
      <c r="E17" s="1" t="s">
        <v>15</v>
      </c>
      <c r="F17" s="1" t="s">
        <v>16</v>
      </c>
      <c r="G17" s="1">
        <v>1991</v>
      </c>
      <c r="H17" s="6" t="s">
        <v>72</v>
      </c>
      <c r="I17" s="6" t="s">
        <v>73</v>
      </c>
      <c r="J17" s="6" t="s">
        <v>74</v>
      </c>
      <c r="K17" s="1"/>
      <c r="L17" s="4">
        <f t="shared" si="4"/>
        <v>80517.78</v>
      </c>
      <c r="M17" s="4" t="s">
        <v>20</v>
      </c>
      <c r="N17" s="4">
        <f t="shared" si="1"/>
        <v>82583.05</v>
      </c>
      <c r="O17" s="4" t="s">
        <v>21</v>
      </c>
      <c r="P17" s="4">
        <f t="shared" si="2"/>
        <v>77275.07</v>
      </c>
      <c r="Q17" s="4" t="s">
        <v>22</v>
      </c>
      <c r="R17" s="4" t="str">
        <f t="shared" si="3"/>
        <v>80517.78(77275.07,82583.05)</v>
      </c>
      <c r="S17" s="4"/>
      <c r="T17" s="4"/>
      <c r="U17" s="4"/>
    </row>
    <row r="18" hidden="1" spans="1:21">
      <c r="A18" s="1" t="s">
        <v>11</v>
      </c>
      <c r="B18" s="1" t="s">
        <v>71</v>
      </c>
      <c r="C18" s="1" t="s">
        <v>13</v>
      </c>
      <c r="D18" s="1" t="s">
        <v>14</v>
      </c>
      <c r="E18" s="1" t="s">
        <v>15</v>
      </c>
      <c r="F18" s="1" t="s">
        <v>23</v>
      </c>
      <c r="G18" s="1">
        <v>1991</v>
      </c>
      <c r="H18" s="6" t="s">
        <v>75</v>
      </c>
      <c r="I18" s="6" t="s">
        <v>76</v>
      </c>
      <c r="J18" s="6" t="s">
        <v>77</v>
      </c>
      <c r="K18" s="1"/>
      <c r="L18" s="4">
        <f t="shared" si="4"/>
        <v>20.25</v>
      </c>
      <c r="M18" s="4" t="s">
        <v>20</v>
      </c>
      <c r="N18" s="4">
        <f t="shared" si="1"/>
        <v>20.77</v>
      </c>
      <c r="O18" s="4" t="s">
        <v>21</v>
      </c>
      <c r="P18" s="4">
        <f t="shared" si="2"/>
        <v>19.43</v>
      </c>
      <c r="Q18" s="4" t="s">
        <v>22</v>
      </c>
      <c r="R18" s="4" t="str">
        <f t="shared" si="3"/>
        <v>20.25(19.43,20.77)</v>
      </c>
      <c r="S18" s="4"/>
      <c r="T18" s="4"/>
      <c r="U18" s="4"/>
    </row>
    <row r="19" hidden="1" spans="1:21">
      <c r="A19" s="1" t="s">
        <v>11</v>
      </c>
      <c r="B19" s="1" t="s">
        <v>71</v>
      </c>
      <c r="C19" s="1" t="s">
        <v>13</v>
      </c>
      <c r="D19" s="1" t="s">
        <v>27</v>
      </c>
      <c r="E19" s="1" t="s">
        <v>15</v>
      </c>
      <c r="F19" s="1" t="s">
        <v>23</v>
      </c>
      <c r="G19" s="1">
        <v>1991</v>
      </c>
      <c r="H19" s="6" t="s">
        <v>78</v>
      </c>
      <c r="I19" s="6" t="s">
        <v>79</v>
      </c>
      <c r="J19" s="6" t="s">
        <v>80</v>
      </c>
      <c r="K19" s="1"/>
      <c r="L19" s="4">
        <f t="shared" si="4"/>
        <v>37.85</v>
      </c>
      <c r="M19" s="4" t="s">
        <v>20</v>
      </c>
      <c r="N19" s="4">
        <f t="shared" si="1"/>
        <v>38.95</v>
      </c>
      <c r="O19" s="4" t="s">
        <v>21</v>
      </c>
      <c r="P19" s="4">
        <f t="shared" si="2"/>
        <v>36.07</v>
      </c>
      <c r="Q19" s="4" t="s">
        <v>22</v>
      </c>
      <c r="R19" s="4" t="str">
        <f t="shared" si="3"/>
        <v>37.85(36.07,38.95)</v>
      </c>
      <c r="S19" s="4"/>
      <c r="T19" s="4"/>
      <c r="U19" s="4"/>
    </row>
    <row r="20" hidden="1" spans="1:21">
      <c r="A20" s="1" t="s">
        <v>11</v>
      </c>
      <c r="B20" s="1" t="s">
        <v>81</v>
      </c>
      <c r="C20" s="1" t="s">
        <v>13</v>
      </c>
      <c r="D20" s="1" t="s">
        <v>14</v>
      </c>
      <c r="E20" s="1" t="s">
        <v>15</v>
      </c>
      <c r="F20" s="1" t="s">
        <v>16</v>
      </c>
      <c r="G20" s="1">
        <v>1991</v>
      </c>
      <c r="H20" s="6" t="s">
        <v>82</v>
      </c>
      <c r="I20" s="6" t="s">
        <v>83</v>
      </c>
      <c r="J20" s="6" t="s">
        <v>84</v>
      </c>
      <c r="K20" s="1"/>
      <c r="L20" s="4">
        <f t="shared" si="4"/>
        <v>143484.86</v>
      </c>
      <c r="M20" s="4" t="s">
        <v>20</v>
      </c>
      <c r="N20" s="4">
        <f t="shared" si="1"/>
        <v>148836.84</v>
      </c>
      <c r="O20" s="4" t="s">
        <v>21</v>
      </c>
      <c r="P20" s="4">
        <f t="shared" si="2"/>
        <v>133139.61</v>
      </c>
      <c r="Q20" s="4" t="s">
        <v>22</v>
      </c>
      <c r="R20" s="4" t="str">
        <f t="shared" si="3"/>
        <v>143484.86(133139.61,148836.84)</v>
      </c>
      <c r="S20" s="4"/>
      <c r="T20" s="4"/>
      <c r="U20" s="4"/>
    </row>
    <row r="21" hidden="1" spans="1:21">
      <c r="A21" s="1" t="s">
        <v>11</v>
      </c>
      <c r="B21" s="1" t="s">
        <v>81</v>
      </c>
      <c r="C21" s="1" t="s">
        <v>13</v>
      </c>
      <c r="D21" s="1" t="s">
        <v>14</v>
      </c>
      <c r="E21" s="1" t="s">
        <v>15</v>
      </c>
      <c r="F21" s="1" t="s">
        <v>23</v>
      </c>
      <c r="G21" s="1">
        <v>1991</v>
      </c>
      <c r="H21" s="6" t="s">
        <v>85</v>
      </c>
      <c r="I21" s="6" t="s">
        <v>86</v>
      </c>
      <c r="J21" s="6" t="s">
        <v>87</v>
      </c>
      <c r="K21" s="1"/>
      <c r="L21" s="4">
        <f t="shared" si="4"/>
        <v>16.18</v>
      </c>
      <c r="M21" s="4" t="s">
        <v>20</v>
      </c>
      <c r="N21" s="4">
        <f t="shared" si="1"/>
        <v>16.79</v>
      </c>
      <c r="O21" s="4" t="s">
        <v>21</v>
      </c>
      <c r="P21" s="4">
        <f t="shared" si="2"/>
        <v>15.02</v>
      </c>
      <c r="Q21" s="4" t="s">
        <v>22</v>
      </c>
      <c r="R21" s="4" t="str">
        <f t="shared" si="3"/>
        <v>16.18(15.02,16.79)</v>
      </c>
      <c r="S21" s="4"/>
      <c r="T21" s="4"/>
      <c r="U21" s="4"/>
    </row>
    <row r="22" hidden="1" spans="1:21">
      <c r="A22" s="1" t="s">
        <v>11</v>
      </c>
      <c r="B22" s="1" t="s">
        <v>81</v>
      </c>
      <c r="C22" s="1" t="s">
        <v>13</v>
      </c>
      <c r="D22" s="1" t="s">
        <v>27</v>
      </c>
      <c r="E22" s="1" t="s">
        <v>15</v>
      </c>
      <c r="F22" s="1" t="s">
        <v>23</v>
      </c>
      <c r="G22" s="1">
        <v>1991</v>
      </c>
      <c r="H22" s="6" t="s">
        <v>88</v>
      </c>
      <c r="I22" s="6" t="s">
        <v>89</v>
      </c>
      <c r="J22" s="6" t="s">
        <v>90</v>
      </c>
      <c r="K22" s="1"/>
      <c r="L22" s="4">
        <f t="shared" si="4"/>
        <v>12.61</v>
      </c>
      <c r="M22" s="4" t="s">
        <v>20</v>
      </c>
      <c r="N22" s="4">
        <f t="shared" si="1"/>
        <v>13.1</v>
      </c>
      <c r="O22" s="4" t="s">
        <v>21</v>
      </c>
      <c r="P22" s="4">
        <f t="shared" si="2"/>
        <v>11.68</v>
      </c>
      <c r="Q22" s="4" t="s">
        <v>22</v>
      </c>
      <c r="R22" s="4" t="str">
        <f t="shared" si="3"/>
        <v>12.61(11.68,13.1)</v>
      </c>
      <c r="S22" s="4"/>
      <c r="T22" s="4"/>
      <c r="U22" s="4"/>
    </row>
    <row r="23" hidden="1" spans="1:21">
      <c r="A23" s="1" t="s">
        <v>11</v>
      </c>
      <c r="B23" s="1" t="s">
        <v>91</v>
      </c>
      <c r="C23" s="1" t="s">
        <v>13</v>
      </c>
      <c r="D23" s="1" t="s">
        <v>14</v>
      </c>
      <c r="E23" s="1" t="s">
        <v>15</v>
      </c>
      <c r="F23" s="1" t="s">
        <v>16</v>
      </c>
      <c r="G23" s="1">
        <v>1991</v>
      </c>
      <c r="H23" s="6" t="s">
        <v>92</v>
      </c>
      <c r="I23" s="1">
        <v>681411.8181</v>
      </c>
      <c r="J23" s="6" t="s">
        <v>93</v>
      </c>
      <c r="K23" s="1"/>
      <c r="L23" s="4">
        <f t="shared" si="4"/>
        <v>651778.97</v>
      </c>
      <c r="M23" s="4" t="s">
        <v>20</v>
      </c>
      <c r="N23" s="4">
        <f t="shared" si="1"/>
        <v>681411.82</v>
      </c>
      <c r="O23" s="4" t="s">
        <v>21</v>
      </c>
      <c r="P23" s="4">
        <f t="shared" si="2"/>
        <v>617804.49</v>
      </c>
      <c r="Q23" s="4" t="s">
        <v>22</v>
      </c>
      <c r="R23" s="4" t="str">
        <f t="shared" si="3"/>
        <v>651778.97(617804.49,681411.82)</v>
      </c>
      <c r="S23" s="4"/>
      <c r="T23" s="4"/>
      <c r="U23" s="4"/>
    </row>
    <row r="24" hidden="1" spans="1:21">
      <c r="A24" s="1" t="s">
        <v>11</v>
      </c>
      <c r="B24" s="1" t="s">
        <v>91</v>
      </c>
      <c r="C24" s="1" t="s">
        <v>13</v>
      </c>
      <c r="D24" s="1" t="s">
        <v>14</v>
      </c>
      <c r="E24" s="1" t="s">
        <v>15</v>
      </c>
      <c r="F24" s="1" t="s">
        <v>23</v>
      </c>
      <c r="G24" s="1">
        <v>1991</v>
      </c>
      <c r="H24" s="6" t="s">
        <v>94</v>
      </c>
      <c r="I24" s="6" t="s">
        <v>95</v>
      </c>
      <c r="J24" s="6" t="s">
        <v>96</v>
      </c>
      <c r="K24" s="1"/>
      <c r="L24" s="4">
        <f t="shared" si="4"/>
        <v>12.03</v>
      </c>
      <c r="M24" s="4" t="s">
        <v>20</v>
      </c>
      <c r="N24" s="4">
        <f t="shared" si="1"/>
        <v>12.58</v>
      </c>
      <c r="O24" s="4" t="s">
        <v>21</v>
      </c>
      <c r="P24" s="4">
        <f t="shared" si="2"/>
        <v>11.41</v>
      </c>
      <c r="Q24" s="4" t="s">
        <v>22</v>
      </c>
      <c r="R24" s="4" t="str">
        <f t="shared" si="3"/>
        <v>12.03(11.41,12.58)</v>
      </c>
      <c r="S24" s="4"/>
      <c r="T24" s="4"/>
      <c r="U24" s="4"/>
    </row>
    <row r="25" hidden="1" spans="1:21">
      <c r="A25" s="1" t="s">
        <v>11</v>
      </c>
      <c r="B25" s="1" t="s">
        <v>91</v>
      </c>
      <c r="C25" s="1" t="s">
        <v>13</v>
      </c>
      <c r="D25" s="1" t="s">
        <v>27</v>
      </c>
      <c r="E25" s="1" t="s">
        <v>15</v>
      </c>
      <c r="F25" s="1" t="s">
        <v>23</v>
      </c>
      <c r="G25" s="1">
        <v>1991</v>
      </c>
      <c r="H25" s="6" t="s">
        <v>97</v>
      </c>
      <c r="I25" s="6" t="s">
        <v>98</v>
      </c>
      <c r="J25" s="6" t="s">
        <v>99</v>
      </c>
      <c r="K25" s="1"/>
      <c r="L25" s="4">
        <f t="shared" si="4"/>
        <v>17.42</v>
      </c>
      <c r="M25" s="4" t="s">
        <v>20</v>
      </c>
      <c r="N25" s="4">
        <f t="shared" si="1"/>
        <v>18.26</v>
      </c>
      <c r="O25" s="4" t="s">
        <v>21</v>
      </c>
      <c r="P25" s="4">
        <f t="shared" si="2"/>
        <v>16.34</v>
      </c>
      <c r="Q25" s="4" t="s">
        <v>22</v>
      </c>
      <c r="R25" s="4" t="str">
        <f t="shared" si="3"/>
        <v>17.42(16.34,18.26)</v>
      </c>
      <c r="S25" s="4"/>
      <c r="T25" s="4"/>
      <c r="U25" s="4"/>
    </row>
    <row r="26" hidden="1" spans="1:21">
      <c r="A26" s="1" t="s">
        <v>11</v>
      </c>
      <c r="B26" s="1" t="s">
        <v>100</v>
      </c>
      <c r="C26" s="1" t="s">
        <v>13</v>
      </c>
      <c r="D26" s="1" t="s">
        <v>14</v>
      </c>
      <c r="E26" s="1" t="s">
        <v>15</v>
      </c>
      <c r="F26" s="1" t="s">
        <v>16</v>
      </c>
      <c r="G26" s="1">
        <v>1991</v>
      </c>
      <c r="H26" s="6" t="s">
        <v>101</v>
      </c>
      <c r="I26" s="6" t="s">
        <v>102</v>
      </c>
      <c r="J26" s="6" t="s">
        <v>103</v>
      </c>
      <c r="K26" s="1"/>
      <c r="L26" s="4">
        <f t="shared" si="4"/>
        <v>112642.31</v>
      </c>
      <c r="M26" s="4" t="s">
        <v>20</v>
      </c>
      <c r="N26" s="4">
        <f t="shared" si="1"/>
        <v>117842.92</v>
      </c>
      <c r="O26" s="4" t="s">
        <v>21</v>
      </c>
      <c r="P26" s="4">
        <f t="shared" si="2"/>
        <v>106212.96</v>
      </c>
      <c r="Q26" s="4" t="s">
        <v>22</v>
      </c>
      <c r="R26" s="4" t="str">
        <f t="shared" si="3"/>
        <v>112642.31(106212.96,117842.92)</v>
      </c>
      <c r="S26" s="4"/>
      <c r="T26" s="4"/>
      <c r="U26" s="4"/>
    </row>
    <row r="27" hidden="1" spans="1:21">
      <c r="A27" s="1" t="s">
        <v>11</v>
      </c>
      <c r="B27" s="1" t="s">
        <v>100</v>
      </c>
      <c r="C27" s="1" t="s">
        <v>13</v>
      </c>
      <c r="D27" s="1" t="s">
        <v>14</v>
      </c>
      <c r="E27" s="1" t="s">
        <v>15</v>
      </c>
      <c r="F27" s="1" t="s">
        <v>23</v>
      </c>
      <c r="G27" s="1">
        <v>1991</v>
      </c>
      <c r="H27" s="6" t="s">
        <v>104</v>
      </c>
      <c r="I27" s="6" t="s">
        <v>105</v>
      </c>
      <c r="J27" s="6" t="s">
        <v>106</v>
      </c>
      <c r="K27" s="1"/>
      <c r="L27" s="4">
        <f t="shared" si="4"/>
        <v>10.47</v>
      </c>
      <c r="M27" s="4" t="s">
        <v>20</v>
      </c>
      <c r="N27" s="4">
        <f t="shared" si="1"/>
        <v>10.96</v>
      </c>
      <c r="O27" s="4" t="s">
        <v>21</v>
      </c>
      <c r="P27" s="4">
        <f t="shared" si="2"/>
        <v>9.88</v>
      </c>
      <c r="Q27" s="4" t="s">
        <v>22</v>
      </c>
      <c r="R27" s="4" t="str">
        <f t="shared" si="3"/>
        <v>10.47(9.88,10.96)</v>
      </c>
      <c r="S27" s="4"/>
      <c r="T27" s="4"/>
      <c r="U27" s="4"/>
    </row>
    <row r="28" hidden="1" spans="1:21">
      <c r="A28" s="1" t="s">
        <v>11</v>
      </c>
      <c r="B28" s="1" t="s">
        <v>100</v>
      </c>
      <c r="C28" s="1" t="s">
        <v>13</v>
      </c>
      <c r="D28" s="1" t="s">
        <v>27</v>
      </c>
      <c r="E28" s="1" t="s">
        <v>15</v>
      </c>
      <c r="F28" s="1" t="s">
        <v>23</v>
      </c>
      <c r="G28" s="1">
        <v>1991</v>
      </c>
      <c r="H28" s="6" t="s">
        <v>107</v>
      </c>
      <c r="I28" s="6" t="s">
        <v>108</v>
      </c>
      <c r="J28" s="6" t="s">
        <v>109</v>
      </c>
      <c r="K28" s="1"/>
      <c r="L28" s="4">
        <f t="shared" si="4"/>
        <v>12.16</v>
      </c>
      <c r="M28" s="4" t="s">
        <v>20</v>
      </c>
      <c r="N28" s="4">
        <f t="shared" si="1"/>
        <v>12.77</v>
      </c>
      <c r="O28" s="4" t="s">
        <v>21</v>
      </c>
      <c r="P28" s="4">
        <f t="shared" si="2"/>
        <v>11.34</v>
      </c>
      <c r="Q28" s="4" t="s">
        <v>22</v>
      </c>
      <c r="R28" s="4" t="str">
        <f t="shared" si="3"/>
        <v>12.16(11.34,12.77)</v>
      </c>
      <c r="S28" s="4"/>
      <c r="T28" s="4"/>
      <c r="U28" s="4"/>
    </row>
    <row r="29" hidden="1" spans="1:21">
      <c r="A29" s="1" t="s">
        <v>11</v>
      </c>
      <c r="B29" s="1" t="s">
        <v>110</v>
      </c>
      <c r="C29" s="1" t="s">
        <v>13</v>
      </c>
      <c r="D29" s="1" t="s">
        <v>14</v>
      </c>
      <c r="E29" s="1" t="s">
        <v>15</v>
      </c>
      <c r="F29" s="1" t="s">
        <v>16</v>
      </c>
      <c r="G29" s="1">
        <v>1991</v>
      </c>
      <c r="H29" s="6" t="s">
        <v>111</v>
      </c>
      <c r="I29" s="6" t="s">
        <v>112</v>
      </c>
      <c r="J29" s="6" t="s">
        <v>113</v>
      </c>
      <c r="K29" s="1"/>
      <c r="L29" s="4">
        <f t="shared" si="4"/>
        <v>76910.62</v>
      </c>
      <c r="M29" s="4" t="s">
        <v>20</v>
      </c>
      <c r="N29" s="4">
        <f t="shared" si="1"/>
        <v>85470.58</v>
      </c>
      <c r="O29" s="4" t="s">
        <v>21</v>
      </c>
      <c r="P29" s="4">
        <f t="shared" si="2"/>
        <v>70186.98</v>
      </c>
      <c r="Q29" s="4" t="s">
        <v>22</v>
      </c>
      <c r="R29" s="4" t="str">
        <f t="shared" si="3"/>
        <v>76910.62(70186.98,85470.58)</v>
      </c>
      <c r="S29" s="4"/>
      <c r="T29" s="4"/>
      <c r="U29" s="4"/>
    </row>
    <row r="30" hidden="1" spans="1:21">
      <c r="A30" s="1" t="s">
        <v>11</v>
      </c>
      <c r="B30" s="1" t="s">
        <v>110</v>
      </c>
      <c r="C30" s="1" t="s">
        <v>13</v>
      </c>
      <c r="D30" s="1" t="s">
        <v>14</v>
      </c>
      <c r="E30" s="1" t="s">
        <v>15</v>
      </c>
      <c r="F30" s="1" t="s">
        <v>23</v>
      </c>
      <c r="G30" s="1">
        <v>1991</v>
      </c>
      <c r="H30" s="6" t="s">
        <v>114</v>
      </c>
      <c r="I30" s="6" t="s">
        <v>115</v>
      </c>
      <c r="J30" s="6" t="s">
        <v>116</v>
      </c>
      <c r="K30" s="1"/>
      <c r="L30" s="4">
        <f t="shared" si="4"/>
        <v>15.23</v>
      </c>
      <c r="M30" s="4" t="s">
        <v>20</v>
      </c>
      <c r="N30" s="4">
        <f t="shared" si="1"/>
        <v>16.93</v>
      </c>
      <c r="O30" s="4" t="s">
        <v>21</v>
      </c>
      <c r="P30" s="4">
        <f t="shared" si="2"/>
        <v>13.9</v>
      </c>
      <c r="Q30" s="4" t="s">
        <v>22</v>
      </c>
      <c r="R30" s="4" t="str">
        <f t="shared" si="3"/>
        <v>15.23(13.9,16.93)</v>
      </c>
      <c r="S30" s="4"/>
      <c r="T30" s="4"/>
      <c r="U30" s="4"/>
    </row>
    <row r="31" hidden="1" spans="1:21">
      <c r="A31" s="1" t="s">
        <v>11</v>
      </c>
      <c r="B31" s="1" t="s">
        <v>110</v>
      </c>
      <c r="C31" s="1" t="s">
        <v>13</v>
      </c>
      <c r="D31" s="1" t="s">
        <v>27</v>
      </c>
      <c r="E31" s="1" t="s">
        <v>15</v>
      </c>
      <c r="F31" s="1" t="s">
        <v>23</v>
      </c>
      <c r="G31" s="1">
        <v>1991</v>
      </c>
      <c r="H31" s="6" t="s">
        <v>117</v>
      </c>
      <c r="I31" s="6" t="s">
        <v>118</v>
      </c>
      <c r="J31" s="6" t="s">
        <v>119</v>
      </c>
      <c r="K31" s="1"/>
      <c r="L31" s="4">
        <f t="shared" si="4"/>
        <v>40.55</v>
      </c>
      <c r="M31" s="4" t="s">
        <v>20</v>
      </c>
      <c r="N31" s="4">
        <f t="shared" si="1"/>
        <v>44.97</v>
      </c>
      <c r="O31" s="4" t="s">
        <v>21</v>
      </c>
      <c r="P31" s="4">
        <f t="shared" si="2"/>
        <v>36.96</v>
      </c>
      <c r="Q31" s="4" t="s">
        <v>22</v>
      </c>
      <c r="R31" s="4" t="str">
        <f t="shared" si="3"/>
        <v>40.55(36.96,44.97)</v>
      </c>
      <c r="S31" s="4"/>
      <c r="T31" s="4"/>
      <c r="U31" s="4"/>
    </row>
    <row r="32" hidden="1" spans="1:21">
      <c r="A32" s="1" t="s">
        <v>11</v>
      </c>
      <c r="B32" s="1" t="s">
        <v>120</v>
      </c>
      <c r="C32" s="1" t="s">
        <v>13</v>
      </c>
      <c r="D32" s="1" t="s">
        <v>14</v>
      </c>
      <c r="E32" s="1" t="s">
        <v>15</v>
      </c>
      <c r="F32" s="1" t="s">
        <v>16</v>
      </c>
      <c r="G32" s="1">
        <v>1991</v>
      </c>
      <c r="H32" s="6" t="s">
        <v>121</v>
      </c>
      <c r="I32" s="6" t="s">
        <v>122</v>
      </c>
      <c r="J32" s="6" t="s">
        <v>123</v>
      </c>
      <c r="K32" s="1"/>
      <c r="L32" s="4">
        <f t="shared" si="4"/>
        <v>34128.35</v>
      </c>
      <c r="M32" s="4" t="s">
        <v>20</v>
      </c>
      <c r="N32" s="4">
        <f t="shared" si="1"/>
        <v>38040.18</v>
      </c>
      <c r="O32" s="4" t="s">
        <v>21</v>
      </c>
      <c r="P32" s="4">
        <f t="shared" si="2"/>
        <v>31306.7</v>
      </c>
      <c r="Q32" s="4" t="s">
        <v>22</v>
      </c>
      <c r="R32" s="4" t="str">
        <f t="shared" si="3"/>
        <v>34128.35(31306.7,38040.18)</v>
      </c>
      <c r="S32" s="4"/>
      <c r="T32" s="4"/>
      <c r="U32" s="4"/>
    </row>
    <row r="33" hidden="1" spans="1:21">
      <c r="A33" s="1" t="s">
        <v>11</v>
      </c>
      <c r="B33" s="1" t="s">
        <v>120</v>
      </c>
      <c r="C33" s="1" t="s">
        <v>13</v>
      </c>
      <c r="D33" s="1" t="s">
        <v>14</v>
      </c>
      <c r="E33" s="1" t="s">
        <v>15</v>
      </c>
      <c r="F33" s="1" t="s">
        <v>23</v>
      </c>
      <c r="G33" s="1">
        <v>1991</v>
      </c>
      <c r="H33" s="6" t="s">
        <v>124</v>
      </c>
      <c r="I33" s="6" t="s">
        <v>125</v>
      </c>
      <c r="J33" s="6" t="s">
        <v>126</v>
      </c>
      <c r="K33" s="1"/>
      <c r="L33" s="4">
        <f t="shared" si="4"/>
        <v>9.82</v>
      </c>
      <c r="M33" s="4" t="s">
        <v>20</v>
      </c>
      <c r="N33" s="4">
        <f t="shared" si="1"/>
        <v>10.95</v>
      </c>
      <c r="O33" s="4" t="s">
        <v>21</v>
      </c>
      <c r="P33" s="4">
        <f t="shared" si="2"/>
        <v>9.01</v>
      </c>
      <c r="Q33" s="4" t="s">
        <v>22</v>
      </c>
      <c r="R33" s="4" t="str">
        <f t="shared" si="3"/>
        <v>9.82(9.01,10.95)</v>
      </c>
      <c r="S33" s="4"/>
      <c r="T33" s="4"/>
      <c r="U33" s="4"/>
    </row>
    <row r="34" hidden="1" spans="1:21">
      <c r="A34" s="1" t="s">
        <v>11</v>
      </c>
      <c r="B34" s="1" t="s">
        <v>120</v>
      </c>
      <c r="C34" s="1" t="s">
        <v>13</v>
      </c>
      <c r="D34" s="1" t="s">
        <v>27</v>
      </c>
      <c r="E34" s="1" t="s">
        <v>15</v>
      </c>
      <c r="F34" s="1" t="s">
        <v>23</v>
      </c>
      <c r="G34" s="1">
        <v>1991</v>
      </c>
      <c r="H34" s="6" t="s">
        <v>127</v>
      </c>
      <c r="I34" s="6" t="s">
        <v>128</v>
      </c>
      <c r="J34" s="6" t="s">
        <v>129</v>
      </c>
      <c r="K34" s="1"/>
      <c r="L34" s="4">
        <f t="shared" si="4"/>
        <v>22.99</v>
      </c>
      <c r="M34" s="4" t="s">
        <v>20</v>
      </c>
      <c r="N34" s="4">
        <f t="shared" si="1"/>
        <v>25.61</v>
      </c>
      <c r="O34" s="4" t="s">
        <v>21</v>
      </c>
      <c r="P34" s="4">
        <f t="shared" si="2"/>
        <v>21.03</v>
      </c>
      <c r="Q34" s="4" t="s">
        <v>22</v>
      </c>
      <c r="R34" s="4" t="str">
        <f t="shared" si="3"/>
        <v>22.99(21.03,25.61)</v>
      </c>
      <c r="S34" s="4"/>
      <c r="T34" s="4"/>
      <c r="U34" s="4"/>
    </row>
    <row r="35" hidden="1" spans="1:21">
      <c r="A35" s="1" t="s">
        <v>11</v>
      </c>
      <c r="B35" s="1" t="s">
        <v>130</v>
      </c>
      <c r="C35" s="1" t="s">
        <v>13</v>
      </c>
      <c r="D35" s="1" t="s">
        <v>14</v>
      </c>
      <c r="E35" s="1" t="s">
        <v>15</v>
      </c>
      <c r="F35" s="1" t="s">
        <v>16</v>
      </c>
      <c r="G35" s="1">
        <v>1991</v>
      </c>
      <c r="H35" s="6" t="s">
        <v>131</v>
      </c>
      <c r="I35" s="6" t="s">
        <v>132</v>
      </c>
      <c r="J35" s="6" t="s">
        <v>133</v>
      </c>
      <c r="K35" s="1"/>
      <c r="L35" s="4">
        <f t="shared" si="4"/>
        <v>137335.38</v>
      </c>
      <c r="M35" s="4" t="s">
        <v>20</v>
      </c>
      <c r="N35" s="4">
        <f t="shared" si="1"/>
        <v>147691.74</v>
      </c>
      <c r="O35" s="4" t="s">
        <v>21</v>
      </c>
      <c r="P35" s="4">
        <f t="shared" si="2"/>
        <v>125985.47</v>
      </c>
      <c r="Q35" s="4" t="s">
        <v>22</v>
      </c>
      <c r="R35" s="4" t="str">
        <f t="shared" si="3"/>
        <v>137335.38(125985.47,147691.74)</v>
      </c>
      <c r="S35" s="4"/>
      <c r="T35" s="4"/>
      <c r="U35" s="4"/>
    </row>
    <row r="36" hidden="1" spans="1:21">
      <c r="A36" s="1" t="s">
        <v>11</v>
      </c>
      <c r="B36" s="1" t="s">
        <v>130</v>
      </c>
      <c r="C36" s="1" t="s">
        <v>13</v>
      </c>
      <c r="D36" s="1" t="s">
        <v>14</v>
      </c>
      <c r="E36" s="1" t="s">
        <v>15</v>
      </c>
      <c r="F36" s="1" t="s">
        <v>23</v>
      </c>
      <c r="G36" s="1">
        <v>1991</v>
      </c>
      <c r="H36" s="6" t="s">
        <v>134</v>
      </c>
      <c r="I36" s="6" t="s">
        <v>135</v>
      </c>
      <c r="J36" s="6" t="s">
        <v>136</v>
      </c>
      <c r="K36" s="1"/>
      <c r="L36" s="4">
        <f t="shared" si="4"/>
        <v>11.6</v>
      </c>
      <c r="M36" s="4" t="s">
        <v>20</v>
      </c>
      <c r="N36" s="4">
        <f t="shared" si="1"/>
        <v>12.48</v>
      </c>
      <c r="O36" s="4" t="s">
        <v>21</v>
      </c>
      <c r="P36" s="4">
        <f t="shared" si="2"/>
        <v>10.64</v>
      </c>
      <c r="Q36" s="4" t="s">
        <v>22</v>
      </c>
      <c r="R36" s="4" t="str">
        <f t="shared" si="3"/>
        <v>11.6(10.64,12.48)</v>
      </c>
      <c r="S36" s="4"/>
      <c r="T36" s="4"/>
      <c r="U36" s="4"/>
    </row>
    <row r="37" hidden="1" spans="1:21">
      <c r="A37" s="1" t="s">
        <v>11</v>
      </c>
      <c r="B37" s="1" t="s">
        <v>130</v>
      </c>
      <c r="C37" s="1" t="s">
        <v>13</v>
      </c>
      <c r="D37" s="1" t="s">
        <v>27</v>
      </c>
      <c r="E37" s="1" t="s">
        <v>15</v>
      </c>
      <c r="F37" s="1" t="s">
        <v>23</v>
      </c>
      <c r="G37" s="1">
        <v>1991</v>
      </c>
      <c r="H37" s="6" t="s">
        <v>137</v>
      </c>
      <c r="I37" s="6" t="s">
        <v>138</v>
      </c>
      <c r="J37" s="6" t="s">
        <v>139</v>
      </c>
      <c r="K37" s="1"/>
      <c r="L37" s="4">
        <f t="shared" si="4"/>
        <v>25.25</v>
      </c>
      <c r="M37" s="4" t="s">
        <v>20</v>
      </c>
      <c r="N37" s="4">
        <f t="shared" si="1"/>
        <v>27.13</v>
      </c>
      <c r="O37" s="4" t="s">
        <v>21</v>
      </c>
      <c r="P37" s="4">
        <f t="shared" si="2"/>
        <v>23.04</v>
      </c>
      <c r="Q37" s="4" t="s">
        <v>22</v>
      </c>
      <c r="R37" s="4" t="str">
        <f t="shared" si="3"/>
        <v>25.25(23.04,27.13)</v>
      </c>
      <c r="S37" s="4"/>
      <c r="T37" s="4"/>
      <c r="U37" s="4"/>
    </row>
    <row r="38" hidden="1" spans="1:21">
      <c r="A38" s="1" t="s">
        <v>11</v>
      </c>
      <c r="B38" s="1" t="s">
        <v>140</v>
      </c>
      <c r="C38" s="1" t="s">
        <v>13</v>
      </c>
      <c r="D38" s="1" t="s">
        <v>14</v>
      </c>
      <c r="E38" s="1" t="s">
        <v>15</v>
      </c>
      <c r="F38" s="1" t="s">
        <v>16</v>
      </c>
      <c r="G38" s="1">
        <v>1991</v>
      </c>
      <c r="H38" s="6" t="s">
        <v>141</v>
      </c>
      <c r="I38" s="6" t="s">
        <v>142</v>
      </c>
      <c r="J38" s="6" t="s">
        <v>143</v>
      </c>
      <c r="K38" s="1"/>
      <c r="L38" s="4">
        <f t="shared" si="4"/>
        <v>144517.63</v>
      </c>
      <c r="M38" s="4" t="s">
        <v>20</v>
      </c>
      <c r="N38" s="4">
        <f t="shared" si="1"/>
        <v>158290.81</v>
      </c>
      <c r="O38" s="4" t="s">
        <v>21</v>
      </c>
      <c r="P38" s="4">
        <f t="shared" si="2"/>
        <v>132417.75</v>
      </c>
      <c r="Q38" s="4" t="s">
        <v>22</v>
      </c>
      <c r="R38" s="4" t="str">
        <f t="shared" si="3"/>
        <v>144517.63(132417.75,158290.81)</v>
      </c>
      <c r="S38" s="4"/>
      <c r="T38" s="4"/>
      <c r="U38" s="4"/>
    </row>
    <row r="39" hidden="1" spans="1:21">
      <c r="A39" s="1" t="s">
        <v>11</v>
      </c>
      <c r="B39" s="1" t="s">
        <v>140</v>
      </c>
      <c r="C39" s="1" t="s">
        <v>13</v>
      </c>
      <c r="D39" s="1" t="s">
        <v>14</v>
      </c>
      <c r="E39" s="1" t="s">
        <v>15</v>
      </c>
      <c r="F39" s="1" t="s">
        <v>23</v>
      </c>
      <c r="G39" s="1">
        <v>1991</v>
      </c>
      <c r="H39" s="6" t="s">
        <v>144</v>
      </c>
      <c r="I39" s="6" t="s">
        <v>145</v>
      </c>
      <c r="J39" s="6" t="s">
        <v>146</v>
      </c>
      <c r="K39" s="1"/>
      <c r="L39" s="4">
        <f t="shared" si="4"/>
        <v>8.43</v>
      </c>
      <c r="M39" s="4" t="s">
        <v>20</v>
      </c>
      <c r="N39" s="4">
        <f t="shared" si="1"/>
        <v>9.23</v>
      </c>
      <c r="O39" s="4" t="s">
        <v>21</v>
      </c>
      <c r="P39" s="4">
        <f t="shared" si="2"/>
        <v>7.72</v>
      </c>
      <c r="Q39" s="4" t="s">
        <v>22</v>
      </c>
      <c r="R39" s="4" t="str">
        <f t="shared" si="3"/>
        <v>8.43(7.72,9.23)</v>
      </c>
      <c r="S39" s="4"/>
      <c r="T39" s="4"/>
      <c r="U39" s="4"/>
    </row>
    <row r="40" hidden="1" spans="1:21">
      <c r="A40" s="1" t="s">
        <v>11</v>
      </c>
      <c r="B40" s="1" t="s">
        <v>140</v>
      </c>
      <c r="C40" s="1" t="s">
        <v>13</v>
      </c>
      <c r="D40" s="1" t="s">
        <v>27</v>
      </c>
      <c r="E40" s="1" t="s">
        <v>15</v>
      </c>
      <c r="F40" s="1" t="s">
        <v>23</v>
      </c>
      <c r="G40" s="1">
        <v>1991</v>
      </c>
      <c r="H40" s="6" t="s">
        <v>147</v>
      </c>
      <c r="I40" s="6" t="s">
        <v>148</v>
      </c>
      <c r="J40" s="6" t="s">
        <v>149</v>
      </c>
      <c r="K40" s="1"/>
      <c r="L40" s="4">
        <f t="shared" ref="L40:L103" si="5">ROUND(H40,2)</f>
        <v>14.31</v>
      </c>
      <c r="M40" s="4" t="s">
        <v>20</v>
      </c>
      <c r="N40" s="4">
        <f t="shared" si="1"/>
        <v>15.63</v>
      </c>
      <c r="O40" s="4" t="s">
        <v>21</v>
      </c>
      <c r="P40" s="4">
        <f t="shared" si="2"/>
        <v>13.08</v>
      </c>
      <c r="Q40" s="4" t="s">
        <v>22</v>
      </c>
      <c r="R40" s="4" t="str">
        <f t="shared" si="3"/>
        <v>14.31(13.08,15.63)</v>
      </c>
      <c r="S40" s="4"/>
      <c r="T40" s="4"/>
      <c r="U40" s="4"/>
    </row>
    <row r="41" hidden="1" spans="1:21">
      <c r="A41" s="1" t="s">
        <v>11</v>
      </c>
      <c r="B41" s="1" t="s">
        <v>31</v>
      </c>
      <c r="C41" s="1" t="s">
        <v>13</v>
      </c>
      <c r="D41" s="1" t="s">
        <v>14</v>
      </c>
      <c r="E41" s="1" t="s">
        <v>15</v>
      </c>
      <c r="F41" s="1" t="s">
        <v>16</v>
      </c>
      <c r="G41" s="1">
        <v>2021</v>
      </c>
      <c r="H41" s="6" t="s">
        <v>150</v>
      </c>
      <c r="I41" s="6" t="s">
        <v>151</v>
      </c>
      <c r="J41" s="6" t="s">
        <v>152</v>
      </c>
      <c r="K41" s="1"/>
      <c r="L41" s="4">
        <f t="shared" si="5"/>
        <v>154565.94</v>
      </c>
      <c r="M41" s="4" t="s">
        <v>20</v>
      </c>
      <c r="N41" s="4">
        <f t="shared" si="1"/>
        <v>172691.76</v>
      </c>
      <c r="O41" s="4" t="s">
        <v>21</v>
      </c>
      <c r="P41" s="4">
        <f t="shared" si="2"/>
        <v>139065.44</v>
      </c>
      <c r="Q41" s="4" t="s">
        <v>22</v>
      </c>
      <c r="R41" s="4" t="str">
        <f t="shared" si="3"/>
        <v>154565.94(139065.44,172691.76)</v>
      </c>
      <c r="S41" s="4"/>
      <c r="T41" s="4"/>
      <c r="U41" s="4"/>
    </row>
    <row r="42" hidden="1" spans="1:21">
      <c r="A42" s="1" t="s">
        <v>11</v>
      </c>
      <c r="B42" s="1" t="s">
        <v>31</v>
      </c>
      <c r="C42" s="1" t="s">
        <v>13</v>
      </c>
      <c r="D42" s="1" t="s">
        <v>14</v>
      </c>
      <c r="E42" s="1" t="s">
        <v>15</v>
      </c>
      <c r="F42" s="1" t="s">
        <v>23</v>
      </c>
      <c r="G42" s="1">
        <v>2021</v>
      </c>
      <c r="H42" s="6" t="s">
        <v>153</v>
      </c>
      <c r="I42" s="6" t="s">
        <v>154</v>
      </c>
      <c r="J42" s="6" t="s">
        <v>155</v>
      </c>
      <c r="K42" s="1"/>
      <c r="L42" s="4">
        <f t="shared" si="5"/>
        <v>13.83</v>
      </c>
      <c r="M42" s="4" t="s">
        <v>20</v>
      </c>
      <c r="N42" s="4">
        <f t="shared" si="1"/>
        <v>15.46</v>
      </c>
      <c r="O42" s="4" t="s">
        <v>21</v>
      </c>
      <c r="P42" s="4">
        <f t="shared" si="2"/>
        <v>12.45</v>
      </c>
      <c r="Q42" s="4" t="s">
        <v>22</v>
      </c>
      <c r="R42" s="4" t="str">
        <f t="shared" si="3"/>
        <v>13.83(12.45,15.46)</v>
      </c>
      <c r="S42" s="4"/>
      <c r="T42" s="4"/>
      <c r="U42" s="4"/>
    </row>
    <row r="43" hidden="1" spans="1:21">
      <c r="A43" s="1" t="s">
        <v>11</v>
      </c>
      <c r="B43" s="1" t="s">
        <v>31</v>
      </c>
      <c r="C43" s="1" t="s">
        <v>13</v>
      </c>
      <c r="D43" s="1" t="s">
        <v>27</v>
      </c>
      <c r="E43" s="1" t="s">
        <v>15</v>
      </c>
      <c r="F43" s="1" t="s">
        <v>23</v>
      </c>
      <c r="G43" s="1">
        <v>2021</v>
      </c>
      <c r="H43" s="6" t="s">
        <v>156</v>
      </c>
      <c r="I43" s="6" t="s">
        <v>157</v>
      </c>
      <c r="J43" s="6" t="s">
        <v>158</v>
      </c>
      <c r="K43" s="1"/>
      <c r="L43" s="4">
        <f t="shared" si="5"/>
        <v>35.87</v>
      </c>
      <c r="M43" s="4" t="s">
        <v>20</v>
      </c>
      <c r="N43" s="4">
        <f t="shared" si="1"/>
        <v>39.94</v>
      </c>
      <c r="O43" s="4" t="s">
        <v>21</v>
      </c>
      <c r="P43" s="4">
        <f t="shared" si="2"/>
        <v>32.3</v>
      </c>
      <c r="Q43" s="4" t="s">
        <v>22</v>
      </c>
      <c r="R43" s="4" t="str">
        <f t="shared" si="3"/>
        <v>35.87(32.3,39.94)</v>
      </c>
      <c r="S43" s="4"/>
      <c r="T43" s="4"/>
      <c r="U43" s="4"/>
    </row>
    <row r="44" hidden="1" spans="1:21">
      <c r="A44" s="1" t="s">
        <v>11</v>
      </c>
      <c r="B44" s="1" t="s">
        <v>71</v>
      </c>
      <c r="C44" s="1" t="s">
        <v>13</v>
      </c>
      <c r="D44" s="1" t="s">
        <v>14</v>
      </c>
      <c r="E44" s="1" t="s">
        <v>15</v>
      </c>
      <c r="F44" s="1" t="s">
        <v>16</v>
      </c>
      <c r="G44" s="1">
        <v>2021</v>
      </c>
      <c r="H44" s="6" t="s">
        <v>159</v>
      </c>
      <c r="I44" s="6" t="s">
        <v>160</v>
      </c>
      <c r="J44" s="6" t="s">
        <v>161</v>
      </c>
      <c r="K44" s="1"/>
      <c r="L44" s="4">
        <f t="shared" si="5"/>
        <v>216349.62</v>
      </c>
      <c r="M44" s="4" t="s">
        <v>20</v>
      </c>
      <c r="N44" s="4">
        <f t="shared" si="1"/>
        <v>233330.64</v>
      </c>
      <c r="O44" s="4" t="s">
        <v>21</v>
      </c>
      <c r="P44" s="4">
        <f t="shared" si="2"/>
        <v>197951.08</v>
      </c>
      <c r="Q44" s="4" t="s">
        <v>22</v>
      </c>
      <c r="R44" s="4" t="str">
        <f t="shared" si="3"/>
        <v>216349.62(197951.08,233330.64)</v>
      </c>
      <c r="S44" s="4"/>
      <c r="T44" s="4"/>
      <c r="U44" s="4"/>
    </row>
    <row r="45" hidden="1" spans="1:21">
      <c r="A45" s="1" t="s">
        <v>11</v>
      </c>
      <c r="B45" s="1" t="s">
        <v>71</v>
      </c>
      <c r="C45" s="1" t="s">
        <v>13</v>
      </c>
      <c r="D45" s="1" t="s">
        <v>14</v>
      </c>
      <c r="E45" s="1" t="s">
        <v>15</v>
      </c>
      <c r="F45" s="1" t="s">
        <v>23</v>
      </c>
      <c r="G45" s="1">
        <v>2021</v>
      </c>
      <c r="H45" s="6" t="s">
        <v>162</v>
      </c>
      <c r="I45" s="6" t="s">
        <v>163</v>
      </c>
      <c r="J45" s="6" t="s">
        <v>164</v>
      </c>
      <c r="K45" s="1"/>
      <c r="L45" s="4">
        <f t="shared" si="5"/>
        <v>36.42</v>
      </c>
      <c r="M45" s="4" t="s">
        <v>20</v>
      </c>
      <c r="N45" s="4">
        <f t="shared" si="1"/>
        <v>39.27</v>
      </c>
      <c r="O45" s="4" t="s">
        <v>21</v>
      </c>
      <c r="P45" s="4">
        <f t="shared" si="2"/>
        <v>33.32</v>
      </c>
      <c r="Q45" s="4" t="s">
        <v>22</v>
      </c>
      <c r="R45" s="4" t="str">
        <f t="shared" si="3"/>
        <v>36.42(33.32,39.27)</v>
      </c>
      <c r="S45" s="4"/>
      <c r="T45" s="4"/>
      <c r="U45" s="4"/>
    </row>
    <row r="46" hidden="1" spans="1:21">
      <c r="A46" s="1" t="s">
        <v>11</v>
      </c>
      <c r="B46" s="1" t="s">
        <v>71</v>
      </c>
      <c r="C46" s="1" t="s">
        <v>13</v>
      </c>
      <c r="D46" s="1" t="s">
        <v>27</v>
      </c>
      <c r="E46" s="1" t="s">
        <v>15</v>
      </c>
      <c r="F46" s="1" t="s">
        <v>23</v>
      </c>
      <c r="G46" s="1">
        <v>2021</v>
      </c>
      <c r="H46" s="6" t="s">
        <v>165</v>
      </c>
      <c r="I46" s="6" t="s">
        <v>166</v>
      </c>
      <c r="J46" s="6" t="s">
        <v>167</v>
      </c>
      <c r="K46" s="1"/>
      <c r="L46" s="4">
        <f t="shared" si="5"/>
        <v>35.58</v>
      </c>
      <c r="M46" s="4" t="s">
        <v>20</v>
      </c>
      <c r="N46" s="4">
        <f t="shared" si="1"/>
        <v>38.37</v>
      </c>
      <c r="O46" s="4" t="s">
        <v>21</v>
      </c>
      <c r="P46" s="4">
        <f t="shared" si="2"/>
        <v>32.49</v>
      </c>
      <c r="Q46" s="4" t="s">
        <v>22</v>
      </c>
      <c r="R46" s="4" t="str">
        <f t="shared" si="3"/>
        <v>35.58(32.49,38.37)</v>
      </c>
      <c r="S46" s="4"/>
      <c r="T46" s="4"/>
      <c r="U46" s="4"/>
    </row>
    <row r="47" hidden="1" spans="1:21">
      <c r="A47" s="1" t="s">
        <v>11</v>
      </c>
      <c r="B47" s="1" t="s">
        <v>120</v>
      </c>
      <c r="C47" s="1" t="s">
        <v>13</v>
      </c>
      <c r="D47" s="1" t="s">
        <v>14</v>
      </c>
      <c r="E47" s="1" t="s">
        <v>15</v>
      </c>
      <c r="F47" s="1" t="s">
        <v>16</v>
      </c>
      <c r="G47" s="1">
        <v>2021</v>
      </c>
      <c r="H47" s="6" t="s">
        <v>168</v>
      </c>
      <c r="I47" s="6" t="s">
        <v>169</v>
      </c>
      <c r="J47" s="6" t="s">
        <v>170</v>
      </c>
      <c r="K47" s="1"/>
      <c r="L47" s="4">
        <f t="shared" si="5"/>
        <v>113250.72</v>
      </c>
      <c r="M47" s="4" t="s">
        <v>20</v>
      </c>
      <c r="N47" s="4">
        <f t="shared" si="1"/>
        <v>126911.28</v>
      </c>
      <c r="O47" s="4" t="s">
        <v>21</v>
      </c>
      <c r="P47" s="4">
        <f t="shared" si="2"/>
        <v>100173.92</v>
      </c>
      <c r="Q47" s="4" t="s">
        <v>22</v>
      </c>
      <c r="R47" s="4" t="str">
        <f t="shared" si="3"/>
        <v>113250.72(100173.92,126911.28)</v>
      </c>
      <c r="S47" s="4"/>
      <c r="T47" s="4"/>
      <c r="U47" s="4"/>
    </row>
    <row r="48" hidden="1" spans="1:21">
      <c r="A48" s="1" t="s">
        <v>11</v>
      </c>
      <c r="B48" s="1" t="s">
        <v>120</v>
      </c>
      <c r="C48" s="1" t="s">
        <v>13</v>
      </c>
      <c r="D48" s="1" t="s">
        <v>14</v>
      </c>
      <c r="E48" s="1" t="s">
        <v>15</v>
      </c>
      <c r="F48" s="1" t="s">
        <v>23</v>
      </c>
      <c r="G48" s="1">
        <v>2021</v>
      </c>
      <c r="H48" s="6" t="s">
        <v>171</v>
      </c>
      <c r="I48" s="6" t="s">
        <v>172</v>
      </c>
      <c r="J48" s="6" t="s">
        <v>173</v>
      </c>
      <c r="K48" s="1"/>
      <c r="L48" s="4">
        <f t="shared" si="5"/>
        <v>18.18</v>
      </c>
      <c r="M48" s="4" t="s">
        <v>20</v>
      </c>
      <c r="N48" s="4">
        <f t="shared" si="1"/>
        <v>20.37</v>
      </c>
      <c r="O48" s="4" t="s">
        <v>21</v>
      </c>
      <c r="P48" s="4">
        <f t="shared" si="2"/>
        <v>16.08</v>
      </c>
      <c r="Q48" s="4" t="s">
        <v>22</v>
      </c>
      <c r="R48" s="4" t="str">
        <f t="shared" si="3"/>
        <v>18.18(16.08,20.37)</v>
      </c>
      <c r="S48" s="4"/>
      <c r="T48" s="4"/>
      <c r="U48" s="4"/>
    </row>
    <row r="49" hidden="1" spans="1:21">
      <c r="A49" s="1" t="s">
        <v>11</v>
      </c>
      <c r="B49" s="1" t="s">
        <v>120</v>
      </c>
      <c r="C49" s="1" t="s">
        <v>13</v>
      </c>
      <c r="D49" s="1" t="s">
        <v>27</v>
      </c>
      <c r="E49" s="1" t="s">
        <v>15</v>
      </c>
      <c r="F49" s="1" t="s">
        <v>23</v>
      </c>
      <c r="G49" s="1">
        <v>2021</v>
      </c>
      <c r="H49" s="6" t="s">
        <v>174</v>
      </c>
      <c r="I49" s="6" t="s">
        <v>175</v>
      </c>
      <c r="J49" s="6" t="s">
        <v>176</v>
      </c>
      <c r="K49" s="1"/>
      <c r="L49" s="4">
        <f t="shared" si="5"/>
        <v>28.88</v>
      </c>
      <c r="M49" s="4" t="s">
        <v>20</v>
      </c>
      <c r="N49" s="4">
        <f t="shared" si="1"/>
        <v>32.14</v>
      </c>
      <c r="O49" s="4" t="s">
        <v>21</v>
      </c>
      <c r="P49" s="4">
        <f t="shared" si="2"/>
        <v>25.57</v>
      </c>
      <c r="Q49" s="4" t="s">
        <v>22</v>
      </c>
      <c r="R49" s="4" t="str">
        <f t="shared" si="3"/>
        <v>28.88(25.57,32.14)</v>
      </c>
      <c r="S49" s="4"/>
      <c r="T49" s="4"/>
      <c r="U49" s="4"/>
    </row>
    <row r="50" hidden="1" spans="1:21">
      <c r="A50" s="1" t="s">
        <v>11</v>
      </c>
      <c r="B50" s="1" t="s">
        <v>12</v>
      </c>
      <c r="C50" s="1" t="s">
        <v>13</v>
      </c>
      <c r="D50" s="1" t="s">
        <v>14</v>
      </c>
      <c r="E50" s="1" t="s">
        <v>15</v>
      </c>
      <c r="F50" s="1" t="s">
        <v>16</v>
      </c>
      <c r="G50" s="1">
        <v>2021</v>
      </c>
      <c r="H50" s="6" t="s">
        <v>177</v>
      </c>
      <c r="I50" s="6" t="s">
        <v>178</v>
      </c>
      <c r="J50" s="6" t="s">
        <v>179</v>
      </c>
      <c r="K50" s="1"/>
      <c r="L50" s="4">
        <f t="shared" si="5"/>
        <v>577559.9</v>
      </c>
      <c r="M50" s="4" t="s">
        <v>20</v>
      </c>
      <c r="N50" s="4">
        <f t="shared" si="1"/>
        <v>614261.38</v>
      </c>
      <c r="O50" s="4" t="s">
        <v>21</v>
      </c>
      <c r="P50" s="4">
        <f t="shared" si="2"/>
        <v>535862.17</v>
      </c>
      <c r="Q50" s="4" t="s">
        <v>22</v>
      </c>
      <c r="R50" s="4" t="str">
        <f t="shared" si="3"/>
        <v>577559.9(535862.17,614261.38)</v>
      </c>
      <c r="S50" s="4"/>
      <c r="T50" s="4"/>
      <c r="U50" s="4"/>
    </row>
    <row r="51" hidden="1" spans="1:21">
      <c r="A51" s="1" t="s">
        <v>11</v>
      </c>
      <c r="B51" s="1" t="s">
        <v>12</v>
      </c>
      <c r="C51" s="1" t="s">
        <v>13</v>
      </c>
      <c r="D51" s="1" t="s">
        <v>14</v>
      </c>
      <c r="E51" s="1" t="s">
        <v>15</v>
      </c>
      <c r="F51" s="1" t="s">
        <v>23</v>
      </c>
      <c r="G51" s="1">
        <v>2021</v>
      </c>
      <c r="H51" s="6" t="s">
        <v>180</v>
      </c>
      <c r="I51" s="6" t="s">
        <v>181</v>
      </c>
      <c r="J51" s="6" t="s">
        <v>182</v>
      </c>
      <c r="K51" s="1"/>
      <c r="L51" s="4">
        <f t="shared" si="5"/>
        <v>23.59</v>
      </c>
      <c r="M51" s="4" t="s">
        <v>20</v>
      </c>
      <c r="N51" s="4">
        <f t="shared" si="1"/>
        <v>25.09</v>
      </c>
      <c r="O51" s="4" t="s">
        <v>21</v>
      </c>
      <c r="P51" s="4">
        <f t="shared" si="2"/>
        <v>21.88</v>
      </c>
      <c r="Q51" s="4" t="s">
        <v>22</v>
      </c>
      <c r="R51" s="4" t="str">
        <f t="shared" si="3"/>
        <v>23.59(21.88,25.09)</v>
      </c>
      <c r="S51" s="4"/>
      <c r="T51" s="4"/>
      <c r="U51" s="4"/>
    </row>
    <row r="52" hidden="1" spans="1:21">
      <c r="A52" s="1" t="s">
        <v>11</v>
      </c>
      <c r="B52" s="1" t="s">
        <v>12</v>
      </c>
      <c r="C52" s="1" t="s">
        <v>13</v>
      </c>
      <c r="D52" s="1" t="s">
        <v>27</v>
      </c>
      <c r="E52" s="1" t="s">
        <v>15</v>
      </c>
      <c r="F52" s="1" t="s">
        <v>23</v>
      </c>
      <c r="G52" s="1">
        <v>2021</v>
      </c>
      <c r="H52" s="6" t="s">
        <v>183</v>
      </c>
      <c r="I52" s="6" t="s">
        <v>184</v>
      </c>
      <c r="J52" s="6" t="s">
        <v>185</v>
      </c>
      <c r="K52" s="1"/>
      <c r="L52" s="4">
        <f t="shared" si="5"/>
        <v>22.94</v>
      </c>
      <c r="M52" s="4" t="s">
        <v>20</v>
      </c>
      <c r="N52" s="4">
        <f t="shared" si="1"/>
        <v>24.4</v>
      </c>
      <c r="O52" s="4" t="s">
        <v>21</v>
      </c>
      <c r="P52" s="4">
        <f t="shared" si="2"/>
        <v>21.19</v>
      </c>
      <c r="Q52" s="4" t="s">
        <v>22</v>
      </c>
      <c r="R52" s="4" t="str">
        <f t="shared" si="3"/>
        <v>22.94(21.19,24.4)</v>
      </c>
      <c r="S52" s="4"/>
      <c r="T52" s="4"/>
      <c r="U52" s="4"/>
    </row>
    <row r="53" hidden="1" spans="1:21">
      <c r="A53" s="1" t="s">
        <v>11</v>
      </c>
      <c r="B53" s="1" t="s">
        <v>130</v>
      </c>
      <c r="C53" s="1" t="s">
        <v>13</v>
      </c>
      <c r="D53" s="1" t="s">
        <v>14</v>
      </c>
      <c r="E53" s="1" t="s">
        <v>15</v>
      </c>
      <c r="F53" s="1" t="s">
        <v>16</v>
      </c>
      <c r="G53" s="1">
        <v>2021</v>
      </c>
      <c r="H53" s="6" t="s">
        <v>186</v>
      </c>
      <c r="I53" s="6" t="s">
        <v>187</v>
      </c>
      <c r="J53" s="6" t="s">
        <v>188</v>
      </c>
      <c r="K53" s="1"/>
      <c r="L53" s="4">
        <f t="shared" si="5"/>
        <v>437451.44</v>
      </c>
      <c r="M53" s="4" t="s">
        <v>20</v>
      </c>
      <c r="N53" s="4">
        <f t="shared" si="1"/>
        <v>474443.53</v>
      </c>
      <c r="O53" s="4" t="s">
        <v>21</v>
      </c>
      <c r="P53" s="4">
        <f t="shared" si="2"/>
        <v>399916.75</v>
      </c>
      <c r="Q53" s="4" t="s">
        <v>22</v>
      </c>
      <c r="R53" s="4" t="str">
        <f t="shared" si="3"/>
        <v>437451.44(399916.75,474443.53)</v>
      </c>
      <c r="S53" s="4"/>
      <c r="T53" s="4"/>
      <c r="U53" s="4"/>
    </row>
    <row r="54" hidden="1" spans="1:21">
      <c r="A54" s="1" t="s">
        <v>11</v>
      </c>
      <c r="B54" s="1" t="s">
        <v>130</v>
      </c>
      <c r="C54" s="1" t="s">
        <v>13</v>
      </c>
      <c r="D54" s="1" t="s">
        <v>14</v>
      </c>
      <c r="E54" s="1" t="s">
        <v>15</v>
      </c>
      <c r="F54" s="1" t="s">
        <v>23</v>
      </c>
      <c r="G54" s="1">
        <v>2021</v>
      </c>
      <c r="H54" s="6" t="s">
        <v>189</v>
      </c>
      <c r="I54" s="6" t="s">
        <v>190</v>
      </c>
      <c r="J54" s="6" t="s">
        <v>191</v>
      </c>
      <c r="K54" s="1"/>
      <c r="L54" s="4">
        <f t="shared" si="5"/>
        <v>22.77</v>
      </c>
      <c r="M54" s="4" t="s">
        <v>20</v>
      </c>
      <c r="N54" s="4">
        <f t="shared" si="1"/>
        <v>24.7</v>
      </c>
      <c r="O54" s="4" t="s">
        <v>21</v>
      </c>
      <c r="P54" s="4">
        <f t="shared" si="2"/>
        <v>20.82</v>
      </c>
      <c r="Q54" s="4" t="s">
        <v>22</v>
      </c>
      <c r="R54" s="4" t="str">
        <f t="shared" si="3"/>
        <v>22.77(20.82,24.7)</v>
      </c>
      <c r="S54" s="4"/>
      <c r="T54" s="4"/>
      <c r="U54" s="4"/>
    </row>
    <row r="55" hidden="1" spans="1:21">
      <c r="A55" s="1" t="s">
        <v>11</v>
      </c>
      <c r="B55" s="1" t="s">
        <v>130</v>
      </c>
      <c r="C55" s="1" t="s">
        <v>13</v>
      </c>
      <c r="D55" s="1" t="s">
        <v>27</v>
      </c>
      <c r="E55" s="1" t="s">
        <v>15</v>
      </c>
      <c r="F55" s="1" t="s">
        <v>23</v>
      </c>
      <c r="G55" s="1">
        <v>2021</v>
      </c>
      <c r="H55" s="6" t="s">
        <v>192</v>
      </c>
      <c r="I55" s="6" t="s">
        <v>193</v>
      </c>
      <c r="J55" s="6" t="s">
        <v>194</v>
      </c>
      <c r="K55" s="1"/>
      <c r="L55" s="4">
        <f t="shared" si="5"/>
        <v>34.29</v>
      </c>
      <c r="M55" s="4" t="s">
        <v>20</v>
      </c>
      <c r="N55" s="4">
        <f t="shared" si="1"/>
        <v>37.19</v>
      </c>
      <c r="O55" s="4" t="s">
        <v>21</v>
      </c>
      <c r="P55" s="4">
        <f t="shared" si="2"/>
        <v>31.31</v>
      </c>
      <c r="Q55" s="4" t="s">
        <v>22</v>
      </c>
      <c r="R55" s="4" t="str">
        <f t="shared" si="3"/>
        <v>34.29(31.31,37.19)</v>
      </c>
      <c r="S55" s="4"/>
      <c r="T55" s="4"/>
      <c r="U55" s="4"/>
    </row>
    <row r="56" hidden="1" spans="1:21">
      <c r="A56" s="1" t="s">
        <v>11</v>
      </c>
      <c r="B56" s="1" t="s">
        <v>140</v>
      </c>
      <c r="C56" s="1" t="s">
        <v>13</v>
      </c>
      <c r="D56" s="1" t="s">
        <v>14</v>
      </c>
      <c r="E56" s="1" t="s">
        <v>15</v>
      </c>
      <c r="F56" s="1" t="s">
        <v>16</v>
      </c>
      <c r="G56" s="1">
        <v>2021</v>
      </c>
      <c r="H56" s="6" t="s">
        <v>195</v>
      </c>
      <c r="I56" s="6" t="s">
        <v>196</v>
      </c>
      <c r="J56" s="6" t="s">
        <v>197</v>
      </c>
      <c r="K56" s="1"/>
      <c r="L56" s="4">
        <f t="shared" si="5"/>
        <v>390782.09</v>
      </c>
      <c r="M56" s="4" t="s">
        <v>20</v>
      </c>
      <c r="N56" s="4">
        <f t="shared" si="1"/>
        <v>428483.04</v>
      </c>
      <c r="O56" s="4" t="s">
        <v>21</v>
      </c>
      <c r="P56" s="4">
        <f t="shared" si="2"/>
        <v>351368.53</v>
      </c>
      <c r="Q56" s="4" t="s">
        <v>22</v>
      </c>
      <c r="R56" s="4" t="str">
        <f t="shared" si="3"/>
        <v>390782.09(351368.53,428483.04)</v>
      </c>
      <c r="S56" s="4"/>
      <c r="T56" s="4"/>
      <c r="U56" s="4"/>
    </row>
    <row r="57" hidden="1" spans="1:21">
      <c r="A57" s="1" t="s">
        <v>11</v>
      </c>
      <c r="B57" s="1" t="s">
        <v>140</v>
      </c>
      <c r="C57" s="1" t="s">
        <v>13</v>
      </c>
      <c r="D57" s="1" t="s">
        <v>14</v>
      </c>
      <c r="E57" s="1" t="s">
        <v>15</v>
      </c>
      <c r="F57" s="1" t="s">
        <v>23</v>
      </c>
      <c r="G57" s="1">
        <v>2021</v>
      </c>
      <c r="H57" s="6" t="s">
        <v>198</v>
      </c>
      <c r="I57" s="6" t="s">
        <v>199</v>
      </c>
      <c r="J57" s="6" t="s">
        <v>200</v>
      </c>
      <c r="K57" s="1"/>
      <c r="L57" s="4">
        <f t="shared" si="5"/>
        <v>17.88</v>
      </c>
      <c r="M57" s="4" t="s">
        <v>20</v>
      </c>
      <c r="N57" s="4">
        <f t="shared" si="1"/>
        <v>19.61</v>
      </c>
      <c r="O57" s="4" t="s">
        <v>21</v>
      </c>
      <c r="P57" s="4">
        <f t="shared" si="2"/>
        <v>16.08</v>
      </c>
      <c r="Q57" s="4" t="s">
        <v>22</v>
      </c>
      <c r="R57" s="4" t="str">
        <f t="shared" si="3"/>
        <v>17.88(16.08,19.61)</v>
      </c>
      <c r="S57" s="4"/>
      <c r="T57" s="4"/>
      <c r="U57" s="4"/>
    </row>
    <row r="58" hidden="1" spans="1:21">
      <c r="A58" s="1" t="s">
        <v>11</v>
      </c>
      <c r="B58" s="1" t="s">
        <v>140</v>
      </c>
      <c r="C58" s="1" t="s">
        <v>13</v>
      </c>
      <c r="D58" s="1" t="s">
        <v>27</v>
      </c>
      <c r="E58" s="1" t="s">
        <v>15</v>
      </c>
      <c r="F58" s="1" t="s">
        <v>23</v>
      </c>
      <c r="G58" s="1">
        <v>2021</v>
      </c>
      <c r="H58" s="6" t="s">
        <v>201</v>
      </c>
      <c r="I58" s="6" t="s">
        <v>202</v>
      </c>
      <c r="J58" s="6" t="s">
        <v>203</v>
      </c>
      <c r="K58" s="1"/>
      <c r="L58" s="4">
        <f t="shared" si="5"/>
        <v>14.55</v>
      </c>
      <c r="M58" s="4" t="s">
        <v>20</v>
      </c>
      <c r="N58" s="4">
        <f t="shared" si="1"/>
        <v>16.01</v>
      </c>
      <c r="O58" s="4" t="s">
        <v>21</v>
      </c>
      <c r="P58" s="4">
        <f t="shared" si="2"/>
        <v>13.07</v>
      </c>
      <c r="Q58" s="4" t="s">
        <v>22</v>
      </c>
      <c r="R58" s="4" t="str">
        <f t="shared" si="3"/>
        <v>14.55(13.07,16.01)</v>
      </c>
      <c r="S58" s="4"/>
      <c r="T58" s="4"/>
      <c r="U58" s="4"/>
    </row>
    <row r="59" hidden="1" spans="1:21">
      <c r="A59" s="1" t="s">
        <v>11</v>
      </c>
      <c r="B59" s="1" t="s">
        <v>51</v>
      </c>
      <c r="C59" s="1" t="s">
        <v>13</v>
      </c>
      <c r="D59" s="1" t="s">
        <v>14</v>
      </c>
      <c r="E59" s="1" t="s">
        <v>15</v>
      </c>
      <c r="F59" s="1" t="s">
        <v>16</v>
      </c>
      <c r="G59" s="1">
        <v>2021</v>
      </c>
      <c r="H59" s="6" t="s">
        <v>204</v>
      </c>
      <c r="I59" s="6" t="s">
        <v>205</v>
      </c>
      <c r="J59" s="6" t="s">
        <v>206</v>
      </c>
      <c r="K59" s="1"/>
      <c r="L59" s="4">
        <f t="shared" si="5"/>
        <v>204662.12</v>
      </c>
      <c r="M59" s="4" t="s">
        <v>20</v>
      </c>
      <c r="N59" s="4">
        <f t="shared" si="1"/>
        <v>218367.19</v>
      </c>
      <c r="O59" s="4" t="s">
        <v>21</v>
      </c>
      <c r="P59" s="4">
        <f t="shared" si="2"/>
        <v>179496.64</v>
      </c>
      <c r="Q59" s="4" t="s">
        <v>22</v>
      </c>
      <c r="R59" s="4" t="str">
        <f t="shared" si="3"/>
        <v>204662.12(179496.64,218367.19)</v>
      </c>
      <c r="S59" s="4"/>
      <c r="T59" s="4"/>
      <c r="U59" s="4"/>
    </row>
    <row r="60" hidden="1" spans="1:21">
      <c r="A60" s="1" t="s">
        <v>11</v>
      </c>
      <c r="B60" s="1" t="s">
        <v>51</v>
      </c>
      <c r="C60" s="1" t="s">
        <v>13</v>
      </c>
      <c r="D60" s="1" t="s">
        <v>14</v>
      </c>
      <c r="E60" s="1" t="s">
        <v>15</v>
      </c>
      <c r="F60" s="1" t="s">
        <v>23</v>
      </c>
      <c r="G60" s="1">
        <v>2021</v>
      </c>
      <c r="H60" s="6" t="s">
        <v>207</v>
      </c>
      <c r="I60" s="6" t="s">
        <v>208</v>
      </c>
      <c r="J60" s="6" t="s">
        <v>209</v>
      </c>
      <c r="K60" s="1"/>
      <c r="L60" s="4">
        <f t="shared" si="5"/>
        <v>18.75</v>
      </c>
      <c r="M60" s="4" t="s">
        <v>20</v>
      </c>
      <c r="N60" s="4">
        <f t="shared" si="1"/>
        <v>20</v>
      </c>
      <c r="O60" s="4" t="s">
        <v>21</v>
      </c>
      <c r="P60" s="4">
        <f t="shared" si="2"/>
        <v>16.44</v>
      </c>
      <c r="Q60" s="4" t="s">
        <v>22</v>
      </c>
      <c r="R60" s="4" t="str">
        <f t="shared" si="3"/>
        <v>18.75(16.44,20)</v>
      </c>
      <c r="S60" s="4"/>
      <c r="T60" s="4"/>
      <c r="U60" s="4"/>
    </row>
    <row r="61" hidden="1" spans="1:21">
      <c r="A61" s="1" t="s">
        <v>11</v>
      </c>
      <c r="B61" s="1" t="s">
        <v>51</v>
      </c>
      <c r="C61" s="1" t="s">
        <v>13</v>
      </c>
      <c r="D61" s="1" t="s">
        <v>27</v>
      </c>
      <c r="E61" s="1" t="s">
        <v>15</v>
      </c>
      <c r="F61" s="1" t="s">
        <v>23</v>
      </c>
      <c r="G61" s="1">
        <v>2021</v>
      </c>
      <c r="H61" s="6" t="s">
        <v>210</v>
      </c>
      <c r="I61" s="6" t="s">
        <v>211</v>
      </c>
      <c r="J61" s="6" t="s">
        <v>212</v>
      </c>
      <c r="K61" s="1"/>
      <c r="L61" s="4">
        <f t="shared" si="5"/>
        <v>8.33</v>
      </c>
      <c r="M61" s="4" t="s">
        <v>20</v>
      </c>
      <c r="N61" s="4">
        <f t="shared" si="1"/>
        <v>8.81</v>
      </c>
      <c r="O61" s="4" t="s">
        <v>21</v>
      </c>
      <c r="P61" s="4">
        <f t="shared" si="2"/>
        <v>7.47</v>
      </c>
      <c r="Q61" s="4" t="s">
        <v>22</v>
      </c>
      <c r="R61" s="4" t="str">
        <f t="shared" si="3"/>
        <v>8.33(7.47,8.81)</v>
      </c>
      <c r="S61" s="4"/>
      <c r="T61" s="4"/>
      <c r="U61" s="4"/>
    </row>
    <row r="62" hidden="1" spans="1:21">
      <c r="A62" s="1" t="s">
        <v>11</v>
      </c>
      <c r="B62" s="1" t="s">
        <v>41</v>
      </c>
      <c r="C62" s="1" t="s">
        <v>13</v>
      </c>
      <c r="D62" s="1" t="s">
        <v>14</v>
      </c>
      <c r="E62" s="1" t="s">
        <v>15</v>
      </c>
      <c r="F62" s="1" t="s">
        <v>16</v>
      </c>
      <c r="G62" s="1">
        <v>2021</v>
      </c>
      <c r="H62" s="6" t="s">
        <v>213</v>
      </c>
      <c r="I62" s="6" t="s">
        <v>214</v>
      </c>
      <c r="J62" s="6" t="s">
        <v>215</v>
      </c>
      <c r="K62" s="1"/>
      <c r="L62" s="4">
        <f t="shared" si="5"/>
        <v>410254.08</v>
      </c>
      <c r="M62" s="4" t="s">
        <v>20</v>
      </c>
      <c r="N62" s="4">
        <f t="shared" si="1"/>
        <v>452153.73</v>
      </c>
      <c r="O62" s="4" t="s">
        <v>21</v>
      </c>
      <c r="P62" s="4">
        <f t="shared" si="2"/>
        <v>364228.65</v>
      </c>
      <c r="Q62" s="4" t="s">
        <v>22</v>
      </c>
      <c r="R62" s="4" t="str">
        <f t="shared" si="3"/>
        <v>410254.08(364228.65,452153.73)</v>
      </c>
      <c r="S62" s="4"/>
      <c r="T62" s="4"/>
      <c r="U62" s="4"/>
    </row>
    <row r="63" hidden="1" spans="1:21">
      <c r="A63" s="1" t="s">
        <v>11</v>
      </c>
      <c r="B63" s="1" t="s">
        <v>41</v>
      </c>
      <c r="C63" s="1" t="s">
        <v>13</v>
      </c>
      <c r="D63" s="1" t="s">
        <v>14</v>
      </c>
      <c r="E63" s="1" t="s">
        <v>15</v>
      </c>
      <c r="F63" s="1" t="s">
        <v>23</v>
      </c>
      <c r="G63" s="1">
        <v>2021</v>
      </c>
      <c r="H63" s="6" t="s">
        <v>216</v>
      </c>
      <c r="I63" s="6" t="s">
        <v>217</v>
      </c>
      <c r="J63" s="6" t="s">
        <v>218</v>
      </c>
      <c r="K63" s="1"/>
      <c r="L63" s="4">
        <f t="shared" si="5"/>
        <v>22.22</v>
      </c>
      <c r="M63" s="4" t="s">
        <v>20</v>
      </c>
      <c r="N63" s="4">
        <f t="shared" si="1"/>
        <v>24.49</v>
      </c>
      <c r="O63" s="4" t="s">
        <v>21</v>
      </c>
      <c r="P63" s="4">
        <f t="shared" si="2"/>
        <v>19.72</v>
      </c>
      <c r="Q63" s="4" t="s">
        <v>22</v>
      </c>
      <c r="R63" s="4" t="str">
        <f t="shared" si="3"/>
        <v>22.22(19.72,24.49)</v>
      </c>
      <c r="S63" s="4"/>
      <c r="T63" s="4"/>
      <c r="U63" s="4"/>
    </row>
    <row r="64" hidden="1" spans="1:21">
      <c r="A64" s="1" t="s">
        <v>11</v>
      </c>
      <c r="B64" s="1" t="s">
        <v>41</v>
      </c>
      <c r="C64" s="1" t="s">
        <v>13</v>
      </c>
      <c r="D64" s="1" t="s">
        <v>27</v>
      </c>
      <c r="E64" s="1" t="s">
        <v>15</v>
      </c>
      <c r="F64" s="1" t="s">
        <v>23</v>
      </c>
      <c r="G64" s="1">
        <v>2021</v>
      </c>
      <c r="H64" s="6" t="s">
        <v>219</v>
      </c>
      <c r="I64" s="6" t="s">
        <v>220</v>
      </c>
      <c r="J64" s="6" t="s">
        <v>221</v>
      </c>
      <c r="K64" s="1"/>
      <c r="L64" s="4">
        <f t="shared" si="5"/>
        <v>31.95</v>
      </c>
      <c r="M64" s="4" t="s">
        <v>20</v>
      </c>
      <c r="N64" s="4">
        <f t="shared" si="1"/>
        <v>35.19</v>
      </c>
      <c r="O64" s="4" t="s">
        <v>21</v>
      </c>
      <c r="P64" s="4">
        <f t="shared" si="2"/>
        <v>28.46</v>
      </c>
      <c r="Q64" s="4" t="s">
        <v>22</v>
      </c>
      <c r="R64" s="4" t="str">
        <f t="shared" si="3"/>
        <v>31.95(28.46,35.19)</v>
      </c>
      <c r="S64" s="4"/>
      <c r="T64" s="4"/>
      <c r="U64" s="4"/>
    </row>
    <row r="65" hidden="1" spans="1:21">
      <c r="A65" s="1" t="s">
        <v>11</v>
      </c>
      <c r="B65" s="1" t="s">
        <v>61</v>
      </c>
      <c r="C65" s="1" t="s">
        <v>13</v>
      </c>
      <c r="D65" s="1" t="s">
        <v>14</v>
      </c>
      <c r="E65" s="1" t="s">
        <v>15</v>
      </c>
      <c r="F65" s="1" t="s">
        <v>16</v>
      </c>
      <c r="G65" s="1">
        <v>2021</v>
      </c>
      <c r="H65" s="6" t="s">
        <v>222</v>
      </c>
      <c r="I65" s="6" t="s">
        <v>223</v>
      </c>
      <c r="J65" s="6" t="s">
        <v>224</v>
      </c>
      <c r="K65" s="1"/>
      <c r="L65" s="4">
        <f t="shared" si="5"/>
        <v>88181.03</v>
      </c>
      <c r="M65" s="4" t="s">
        <v>20</v>
      </c>
      <c r="N65" s="4">
        <f t="shared" si="1"/>
        <v>93046.43</v>
      </c>
      <c r="O65" s="4" t="s">
        <v>21</v>
      </c>
      <c r="P65" s="4">
        <f t="shared" si="2"/>
        <v>82199.8</v>
      </c>
      <c r="Q65" s="4" t="s">
        <v>22</v>
      </c>
      <c r="R65" s="4" t="str">
        <f t="shared" si="3"/>
        <v>88181.03(82199.8,93046.43)</v>
      </c>
      <c r="S65" s="4"/>
      <c r="T65" s="4"/>
      <c r="U65" s="4"/>
    </row>
    <row r="66" hidden="1" spans="1:21">
      <c r="A66" s="1" t="s">
        <v>11</v>
      </c>
      <c r="B66" s="1" t="s">
        <v>61</v>
      </c>
      <c r="C66" s="1" t="s">
        <v>13</v>
      </c>
      <c r="D66" s="1" t="s">
        <v>14</v>
      </c>
      <c r="E66" s="1" t="s">
        <v>15</v>
      </c>
      <c r="F66" s="1" t="s">
        <v>23</v>
      </c>
      <c r="G66" s="1">
        <v>2021</v>
      </c>
      <c r="H66" s="6" t="s">
        <v>225</v>
      </c>
      <c r="I66" s="6" t="s">
        <v>226</v>
      </c>
      <c r="J66" s="6" t="s">
        <v>227</v>
      </c>
      <c r="K66" s="1"/>
      <c r="L66" s="4">
        <f t="shared" si="5"/>
        <v>21.1</v>
      </c>
      <c r="M66" s="4" t="s">
        <v>20</v>
      </c>
      <c r="N66" s="4">
        <f t="shared" si="1"/>
        <v>22.27</v>
      </c>
      <c r="O66" s="4" t="s">
        <v>21</v>
      </c>
      <c r="P66" s="4">
        <f t="shared" si="2"/>
        <v>19.67</v>
      </c>
      <c r="Q66" s="4" t="s">
        <v>22</v>
      </c>
      <c r="R66" s="4" t="str">
        <f t="shared" si="3"/>
        <v>21.1(19.67,22.27)</v>
      </c>
      <c r="S66" s="4"/>
      <c r="T66" s="4"/>
      <c r="U66" s="4"/>
    </row>
    <row r="67" hidden="1" spans="1:21">
      <c r="A67" s="1" t="s">
        <v>11</v>
      </c>
      <c r="B67" s="1" t="s">
        <v>61</v>
      </c>
      <c r="C67" s="1" t="s">
        <v>13</v>
      </c>
      <c r="D67" s="1" t="s">
        <v>27</v>
      </c>
      <c r="E67" s="1" t="s">
        <v>15</v>
      </c>
      <c r="F67" s="1" t="s">
        <v>23</v>
      </c>
      <c r="G67" s="1">
        <v>2021</v>
      </c>
      <c r="H67" s="6" t="s">
        <v>228</v>
      </c>
      <c r="I67" s="6" t="s">
        <v>229</v>
      </c>
      <c r="J67" s="6" t="s">
        <v>230</v>
      </c>
      <c r="K67" s="1"/>
      <c r="L67" s="4">
        <f t="shared" si="5"/>
        <v>13.26</v>
      </c>
      <c r="M67" s="4" t="s">
        <v>20</v>
      </c>
      <c r="N67" s="4">
        <f t="shared" ref="N67:N130" si="6">ROUND(I67,2)</f>
        <v>13.99</v>
      </c>
      <c r="O67" s="4" t="s">
        <v>21</v>
      </c>
      <c r="P67" s="4">
        <f t="shared" ref="P67:P130" si="7">ROUND(J67,2)</f>
        <v>12.36</v>
      </c>
      <c r="Q67" s="4" t="s">
        <v>22</v>
      </c>
      <c r="R67" s="4" t="str">
        <f t="shared" ref="R67:R130" si="8">L67&amp;M67&amp;P67&amp;O67&amp;N67&amp;Q67</f>
        <v>13.26(12.36,13.99)</v>
      </c>
      <c r="S67" s="4"/>
      <c r="T67" s="4"/>
      <c r="U67" s="4"/>
    </row>
    <row r="68" hidden="1" spans="1:21">
      <c r="A68" s="1" t="s">
        <v>11</v>
      </c>
      <c r="B68" s="1" t="s">
        <v>81</v>
      </c>
      <c r="C68" s="1" t="s">
        <v>13</v>
      </c>
      <c r="D68" s="1" t="s">
        <v>14</v>
      </c>
      <c r="E68" s="1" t="s">
        <v>15</v>
      </c>
      <c r="F68" s="1" t="s">
        <v>16</v>
      </c>
      <c r="G68" s="1">
        <v>2021</v>
      </c>
      <c r="H68" s="6" t="s">
        <v>231</v>
      </c>
      <c r="I68" s="6" t="s">
        <v>232</v>
      </c>
      <c r="J68" s="6" t="s">
        <v>233</v>
      </c>
      <c r="K68" s="1"/>
      <c r="L68" s="4">
        <f t="shared" si="5"/>
        <v>201593.74</v>
      </c>
      <c r="M68" s="4" t="s">
        <v>20</v>
      </c>
      <c r="N68" s="4">
        <f t="shared" si="6"/>
        <v>213767.74</v>
      </c>
      <c r="O68" s="4" t="s">
        <v>21</v>
      </c>
      <c r="P68" s="4">
        <f t="shared" si="7"/>
        <v>178953.37</v>
      </c>
      <c r="Q68" s="4" t="s">
        <v>22</v>
      </c>
      <c r="R68" s="4" t="str">
        <f t="shared" si="8"/>
        <v>201593.74(178953.37,213767.74)</v>
      </c>
      <c r="S68" s="4"/>
      <c r="T68" s="4"/>
      <c r="U68" s="4"/>
    </row>
    <row r="69" hidden="1" spans="1:21">
      <c r="A69" s="1" t="s">
        <v>11</v>
      </c>
      <c r="B69" s="1" t="s">
        <v>81</v>
      </c>
      <c r="C69" s="1" t="s">
        <v>13</v>
      </c>
      <c r="D69" s="1" t="s">
        <v>14</v>
      </c>
      <c r="E69" s="1" t="s">
        <v>15</v>
      </c>
      <c r="F69" s="1" t="s">
        <v>23</v>
      </c>
      <c r="G69" s="1">
        <v>2021</v>
      </c>
      <c r="H69" s="6" t="s">
        <v>234</v>
      </c>
      <c r="I69" s="6" t="s">
        <v>235</v>
      </c>
      <c r="J69" s="6" t="s">
        <v>236</v>
      </c>
      <c r="K69" s="1"/>
      <c r="L69" s="4">
        <f t="shared" si="5"/>
        <v>18.43</v>
      </c>
      <c r="M69" s="4" t="s">
        <v>20</v>
      </c>
      <c r="N69" s="4">
        <f t="shared" si="6"/>
        <v>19.54</v>
      </c>
      <c r="O69" s="4" t="s">
        <v>21</v>
      </c>
      <c r="P69" s="4">
        <f t="shared" si="7"/>
        <v>16.36</v>
      </c>
      <c r="Q69" s="4" t="s">
        <v>22</v>
      </c>
      <c r="R69" s="4" t="str">
        <f t="shared" si="8"/>
        <v>18.43(16.36,19.54)</v>
      </c>
      <c r="S69" s="4"/>
      <c r="T69" s="4"/>
      <c r="U69" s="4"/>
    </row>
    <row r="70" hidden="1" spans="1:21">
      <c r="A70" s="1" t="s">
        <v>11</v>
      </c>
      <c r="B70" s="1" t="s">
        <v>81</v>
      </c>
      <c r="C70" s="1" t="s">
        <v>13</v>
      </c>
      <c r="D70" s="1" t="s">
        <v>27</v>
      </c>
      <c r="E70" s="1" t="s">
        <v>15</v>
      </c>
      <c r="F70" s="1" t="s">
        <v>23</v>
      </c>
      <c r="G70" s="1">
        <v>2021</v>
      </c>
      <c r="H70" s="6" t="s">
        <v>237</v>
      </c>
      <c r="I70" s="6" t="s">
        <v>238</v>
      </c>
      <c r="J70" s="6" t="s">
        <v>239</v>
      </c>
      <c r="K70" s="1"/>
      <c r="L70" s="4">
        <f t="shared" si="5"/>
        <v>8.86</v>
      </c>
      <c r="M70" s="4" t="s">
        <v>20</v>
      </c>
      <c r="N70" s="4">
        <f t="shared" si="6"/>
        <v>9.33</v>
      </c>
      <c r="O70" s="4" t="s">
        <v>21</v>
      </c>
      <c r="P70" s="4">
        <f t="shared" si="7"/>
        <v>7.97</v>
      </c>
      <c r="Q70" s="4" t="s">
        <v>22</v>
      </c>
      <c r="R70" s="4" t="str">
        <f t="shared" si="8"/>
        <v>8.86(7.97,9.33)</v>
      </c>
      <c r="S70" s="4"/>
      <c r="T70" s="4"/>
      <c r="U70" s="4"/>
    </row>
    <row r="71" hidden="1" spans="1:21">
      <c r="A71" s="1" t="s">
        <v>11</v>
      </c>
      <c r="B71" s="1" t="s">
        <v>100</v>
      </c>
      <c r="C71" s="1" t="s">
        <v>13</v>
      </c>
      <c r="D71" s="1" t="s">
        <v>14</v>
      </c>
      <c r="E71" s="1" t="s">
        <v>15</v>
      </c>
      <c r="F71" s="1" t="s">
        <v>16</v>
      </c>
      <c r="G71" s="1">
        <v>2021</v>
      </c>
      <c r="H71" s="6" t="s">
        <v>240</v>
      </c>
      <c r="I71" s="6" t="s">
        <v>241</v>
      </c>
      <c r="J71" s="6" t="s">
        <v>242</v>
      </c>
      <c r="K71" s="1"/>
      <c r="L71" s="4">
        <f t="shared" si="5"/>
        <v>234999.04</v>
      </c>
      <c r="M71" s="4" t="s">
        <v>20</v>
      </c>
      <c r="N71" s="4">
        <f t="shared" si="6"/>
        <v>254106.76</v>
      </c>
      <c r="O71" s="4" t="s">
        <v>21</v>
      </c>
      <c r="P71" s="4">
        <f t="shared" si="7"/>
        <v>212680.34</v>
      </c>
      <c r="Q71" s="4" t="s">
        <v>22</v>
      </c>
      <c r="R71" s="4" t="str">
        <f t="shared" si="8"/>
        <v>234999.04(212680.34,254106.76)</v>
      </c>
      <c r="S71" s="4"/>
      <c r="T71" s="4"/>
      <c r="U71" s="4"/>
    </row>
    <row r="72" hidden="1" spans="1:21">
      <c r="A72" s="1" t="s">
        <v>11</v>
      </c>
      <c r="B72" s="1" t="s">
        <v>100</v>
      </c>
      <c r="C72" s="1" t="s">
        <v>13</v>
      </c>
      <c r="D72" s="1" t="s">
        <v>14</v>
      </c>
      <c r="E72" s="1" t="s">
        <v>15</v>
      </c>
      <c r="F72" s="1" t="s">
        <v>23</v>
      </c>
      <c r="G72" s="1">
        <v>2021</v>
      </c>
      <c r="H72" s="6" t="s">
        <v>243</v>
      </c>
      <c r="I72" s="6" t="s">
        <v>244</v>
      </c>
      <c r="J72" s="6" t="s">
        <v>245</v>
      </c>
      <c r="K72" s="1"/>
      <c r="L72" s="4">
        <f t="shared" si="5"/>
        <v>18.02</v>
      </c>
      <c r="M72" s="4" t="s">
        <v>20</v>
      </c>
      <c r="N72" s="4">
        <f t="shared" si="6"/>
        <v>19.49</v>
      </c>
      <c r="O72" s="4" t="s">
        <v>21</v>
      </c>
      <c r="P72" s="4">
        <f t="shared" si="7"/>
        <v>16.31</v>
      </c>
      <c r="Q72" s="4" t="s">
        <v>22</v>
      </c>
      <c r="R72" s="4" t="str">
        <f t="shared" si="8"/>
        <v>18.02(16.31,19.49)</v>
      </c>
      <c r="S72" s="4"/>
      <c r="T72" s="4"/>
      <c r="U72" s="4"/>
    </row>
    <row r="73" hidden="1" spans="1:21">
      <c r="A73" s="1" t="s">
        <v>11</v>
      </c>
      <c r="B73" s="1" t="s">
        <v>100</v>
      </c>
      <c r="C73" s="1" t="s">
        <v>13</v>
      </c>
      <c r="D73" s="1" t="s">
        <v>27</v>
      </c>
      <c r="E73" s="1" t="s">
        <v>15</v>
      </c>
      <c r="F73" s="1" t="s">
        <v>23</v>
      </c>
      <c r="G73" s="1">
        <v>2021</v>
      </c>
      <c r="H73" s="6" t="s">
        <v>246</v>
      </c>
      <c r="I73" s="6" t="s">
        <v>247</v>
      </c>
      <c r="J73" s="6" t="s">
        <v>248</v>
      </c>
      <c r="K73" s="1"/>
      <c r="L73" s="4">
        <f t="shared" si="5"/>
        <v>11.98</v>
      </c>
      <c r="M73" s="4" t="s">
        <v>20</v>
      </c>
      <c r="N73" s="4">
        <f t="shared" si="6"/>
        <v>12.97</v>
      </c>
      <c r="O73" s="4" t="s">
        <v>21</v>
      </c>
      <c r="P73" s="4">
        <f t="shared" si="7"/>
        <v>10.82</v>
      </c>
      <c r="Q73" s="4" t="s">
        <v>22</v>
      </c>
      <c r="R73" s="4" t="str">
        <f t="shared" si="8"/>
        <v>11.98(10.82,12.97)</v>
      </c>
      <c r="S73" s="4"/>
      <c r="T73" s="4"/>
      <c r="U73" s="4"/>
    </row>
    <row r="74" spans="1:21">
      <c r="A74" s="1" t="s">
        <v>11</v>
      </c>
      <c r="B74" s="1" t="s">
        <v>91</v>
      </c>
      <c r="C74" s="1" t="s">
        <v>13</v>
      </c>
      <c r="D74" s="1" t="s">
        <v>14</v>
      </c>
      <c r="E74" s="1" t="s">
        <v>15</v>
      </c>
      <c r="F74" s="1" t="s">
        <v>16</v>
      </c>
      <c r="G74" s="1">
        <v>2021</v>
      </c>
      <c r="H74" s="6" t="s">
        <v>249</v>
      </c>
      <c r="I74" s="6" t="s">
        <v>250</v>
      </c>
      <c r="J74" s="6" t="s">
        <v>251</v>
      </c>
      <c r="K74" s="1"/>
      <c r="L74" s="4">
        <f t="shared" si="5"/>
        <v>1608123.22</v>
      </c>
      <c r="M74" s="4" t="s">
        <v>20</v>
      </c>
      <c r="N74" s="4">
        <f t="shared" si="6"/>
        <v>1708293.64</v>
      </c>
      <c r="O74" s="4" t="s">
        <v>21</v>
      </c>
      <c r="P74" s="4">
        <f t="shared" si="7"/>
        <v>1493437.7</v>
      </c>
      <c r="Q74" s="4" t="s">
        <v>22</v>
      </c>
      <c r="R74" s="4" t="str">
        <f t="shared" si="8"/>
        <v>1608123.22(1493437.7,1708293.64)</v>
      </c>
      <c r="S74" s="4"/>
      <c r="T74" s="4"/>
      <c r="U74" s="4"/>
    </row>
    <row r="75" spans="1:21">
      <c r="A75" s="1" t="s">
        <v>11</v>
      </c>
      <c r="B75" s="1" t="s">
        <v>91</v>
      </c>
      <c r="C75" s="1" t="s">
        <v>13</v>
      </c>
      <c r="D75" s="1" t="s">
        <v>14</v>
      </c>
      <c r="E75" s="1" t="s">
        <v>15</v>
      </c>
      <c r="F75" s="1" t="s">
        <v>23</v>
      </c>
      <c r="G75" s="1">
        <v>2021</v>
      </c>
      <c r="H75" s="6" t="s">
        <v>252</v>
      </c>
      <c r="I75" s="6" t="s">
        <v>253</v>
      </c>
      <c r="J75" s="6" t="s">
        <v>254</v>
      </c>
      <c r="K75" s="1"/>
      <c r="L75" s="4">
        <f t="shared" si="5"/>
        <v>20.38</v>
      </c>
      <c r="M75" s="4" t="s">
        <v>20</v>
      </c>
      <c r="N75" s="4">
        <f t="shared" si="6"/>
        <v>21.65</v>
      </c>
      <c r="O75" s="4" t="s">
        <v>21</v>
      </c>
      <c r="P75" s="4">
        <f t="shared" si="7"/>
        <v>18.92</v>
      </c>
      <c r="Q75" s="4" t="s">
        <v>22</v>
      </c>
      <c r="R75" s="4" t="str">
        <f t="shared" si="8"/>
        <v>20.38(18.92,21.65)</v>
      </c>
      <c r="S75" s="4"/>
      <c r="T75" s="4"/>
      <c r="U75" s="4"/>
    </row>
    <row r="76" spans="1:21">
      <c r="A76" s="1" t="s">
        <v>11</v>
      </c>
      <c r="B76" s="1" t="s">
        <v>91</v>
      </c>
      <c r="C76" s="1" t="s">
        <v>13</v>
      </c>
      <c r="D76" s="1" t="s">
        <v>27</v>
      </c>
      <c r="E76" s="1" t="s">
        <v>15</v>
      </c>
      <c r="F76" s="1" t="s">
        <v>23</v>
      </c>
      <c r="G76" s="1">
        <v>2021</v>
      </c>
      <c r="H76" s="6" t="s">
        <v>255</v>
      </c>
      <c r="I76" s="6" t="s">
        <v>256</v>
      </c>
      <c r="J76" s="6" t="s">
        <v>257</v>
      </c>
      <c r="K76" s="1"/>
      <c r="L76" s="4">
        <f t="shared" si="5"/>
        <v>19.02</v>
      </c>
      <c r="M76" s="4" t="s">
        <v>20</v>
      </c>
      <c r="N76" s="4">
        <f t="shared" si="6"/>
        <v>20.2</v>
      </c>
      <c r="O76" s="4" t="s">
        <v>21</v>
      </c>
      <c r="P76" s="4">
        <f t="shared" si="7"/>
        <v>17.57</v>
      </c>
      <c r="Q76" s="4" t="s">
        <v>22</v>
      </c>
      <c r="R76" s="4" t="str">
        <f t="shared" si="8"/>
        <v>19.02(17.57,20.2)</v>
      </c>
      <c r="S76" s="4"/>
      <c r="T76" s="4"/>
      <c r="U76" s="4"/>
    </row>
    <row r="77" hidden="1" spans="1:21">
      <c r="A77" s="1" t="s">
        <v>11</v>
      </c>
      <c r="B77" s="1" t="s">
        <v>110</v>
      </c>
      <c r="C77" s="1" t="s">
        <v>13</v>
      </c>
      <c r="D77" s="1" t="s">
        <v>14</v>
      </c>
      <c r="E77" s="1" t="s">
        <v>15</v>
      </c>
      <c r="F77" s="1" t="s">
        <v>16</v>
      </c>
      <c r="G77" s="1">
        <v>2021</v>
      </c>
      <c r="H77" s="6" t="s">
        <v>258</v>
      </c>
      <c r="I77" s="6" t="s">
        <v>259</v>
      </c>
      <c r="J77" s="6" t="s">
        <v>260</v>
      </c>
      <c r="K77" s="1"/>
      <c r="L77" s="4">
        <f t="shared" si="5"/>
        <v>184643.57</v>
      </c>
      <c r="M77" s="4" t="s">
        <v>20</v>
      </c>
      <c r="N77" s="4">
        <f t="shared" si="6"/>
        <v>204040.12</v>
      </c>
      <c r="O77" s="4" t="s">
        <v>21</v>
      </c>
      <c r="P77" s="4">
        <f t="shared" si="7"/>
        <v>167915.16</v>
      </c>
      <c r="Q77" s="4" t="s">
        <v>22</v>
      </c>
      <c r="R77" s="4" t="str">
        <f t="shared" si="8"/>
        <v>184643.57(167915.16,204040.12)</v>
      </c>
      <c r="S77" s="4"/>
      <c r="T77" s="4"/>
      <c r="U77" s="4"/>
    </row>
    <row r="78" hidden="1" spans="1:21">
      <c r="A78" s="1" t="s">
        <v>11</v>
      </c>
      <c r="B78" s="1" t="s">
        <v>110</v>
      </c>
      <c r="C78" s="1" t="s">
        <v>13</v>
      </c>
      <c r="D78" s="1" t="s">
        <v>14</v>
      </c>
      <c r="E78" s="1" t="s">
        <v>15</v>
      </c>
      <c r="F78" s="1" t="s">
        <v>23</v>
      </c>
      <c r="G78" s="1">
        <v>2021</v>
      </c>
      <c r="H78" s="6" t="s">
        <v>261</v>
      </c>
      <c r="I78" s="6" t="s">
        <v>262</v>
      </c>
      <c r="J78" s="6" t="s">
        <v>263</v>
      </c>
      <c r="K78" s="1"/>
      <c r="L78" s="4">
        <f t="shared" si="5"/>
        <v>16.29</v>
      </c>
      <c r="M78" s="4" t="s">
        <v>20</v>
      </c>
      <c r="N78" s="4">
        <f t="shared" si="6"/>
        <v>18.01</v>
      </c>
      <c r="O78" s="4" t="s">
        <v>21</v>
      </c>
      <c r="P78" s="4">
        <f t="shared" si="7"/>
        <v>14.82</v>
      </c>
      <c r="Q78" s="4" t="s">
        <v>22</v>
      </c>
      <c r="R78" s="4" t="str">
        <f t="shared" si="8"/>
        <v>16.29(14.82,18.01)</v>
      </c>
      <c r="S78" s="4"/>
      <c r="T78" s="4"/>
      <c r="U78" s="4"/>
    </row>
    <row r="79" hidden="1" spans="1:21">
      <c r="A79" s="1" t="s">
        <v>11</v>
      </c>
      <c r="B79" s="1" t="s">
        <v>110</v>
      </c>
      <c r="C79" s="1" t="s">
        <v>13</v>
      </c>
      <c r="D79" s="1" t="s">
        <v>27</v>
      </c>
      <c r="E79" s="1" t="s">
        <v>15</v>
      </c>
      <c r="F79" s="1" t="s">
        <v>23</v>
      </c>
      <c r="G79" s="1">
        <v>2021</v>
      </c>
      <c r="H79" s="6" t="s">
        <v>264</v>
      </c>
      <c r="I79" s="6" t="s">
        <v>265</v>
      </c>
      <c r="J79" s="6" t="s">
        <v>266</v>
      </c>
      <c r="K79" s="1"/>
      <c r="L79" s="4">
        <f t="shared" si="5"/>
        <v>46.15</v>
      </c>
      <c r="M79" s="4" t="s">
        <v>20</v>
      </c>
      <c r="N79" s="4">
        <f t="shared" si="6"/>
        <v>50.46</v>
      </c>
      <c r="O79" s="4" t="s">
        <v>21</v>
      </c>
      <c r="P79" s="4">
        <f t="shared" si="7"/>
        <v>42.11</v>
      </c>
      <c r="Q79" s="4" t="s">
        <v>22</v>
      </c>
      <c r="R79" s="4" t="str">
        <f t="shared" si="8"/>
        <v>46.15(42.11,50.46)</v>
      </c>
      <c r="S79" s="4"/>
      <c r="T79" s="4"/>
      <c r="U79" s="4"/>
    </row>
    <row r="80" hidden="1" spans="1:21">
      <c r="A80" s="1" t="s">
        <v>267</v>
      </c>
      <c r="B80" s="1" t="s">
        <v>140</v>
      </c>
      <c r="C80" s="1" t="s">
        <v>13</v>
      </c>
      <c r="D80" s="1" t="s">
        <v>14</v>
      </c>
      <c r="E80" s="1" t="s">
        <v>15</v>
      </c>
      <c r="F80" s="1" t="s">
        <v>16</v>
      </c>
      <c r="G80" s="1">
        <v>1991</v>
      </c>
      <c r="H80" s="6" t="s">
        <v>268</v>
      </c>
      <c r="I80" s="6" t="s">
        <v>269</v>
      </c>
      <c r="J80" s="6" t="s">
        <v>270</v>
      </c>
      <c r="K80" s="1"/>
      <c r="L80" s="4">
        <f t="shared" si="5"/>
        <v>6870551.5</v>
      </c>
      <c r="M80" s="4" t="s">
        <v>20</v>
      </c>
      <c r="N80" s="4">
        <f t="shared" si="6"/>
        <v>8108751.21</v>
      </c>
      <c r="O80" s="4" t="s">
        <v>21</v>
      </c>
      <c r="P80" s="4">
        <f t="shared" si="7"/>
        <v>5908691.94</v>
      </c>
      <c r="Q80" s="4" t="s">
        <v>22</v>
      </c>
      <c r="R80" s="4" t="str">
        <f t="shared" si="8"/>
        <v>6870551.5(5908691.94,8108751.21)</v>
      </c>
      <c r="S80" s="4"/>
      <c r="T80" s="4"/>
      <c r="U80" s="4"/>
    </row>
    <row r="81" hidden="1" spans="1:21">
      <c r="A81" s="1" t="s">
        <v>267</v>
      </c>
      <c r="B81" s="1" t="s">
        <v>140</v>
      </c>
      <c r="C81" s="1" t="s">
        <v>13</v>
      </c>
      <c r="D81" s="1" t="s">
        <v>14</v>
      </c>
      <c r="E81" s="1" t="s">
        <v>15</v>
      </c>
      <c r="F81" s="1" t="s">
        <v>23</v>
      </c>
      <c r="G81" s="1">
        <v>1991</v>
      </c>
      <c r="H81" s="6" t="s">
        <v>271</v>
      </c>
      <c r="I81" s="6" t="s">
        <v>272</v>
      </c>
      <c r="J81" s="6" t="s">
        <v>273</v>
      </c>
      <c r="K81" s="1"/>
      <c r="L81" s="4">
        <f t="shared" si="5"/>
        <v>400.7</v>
      </c>
      <c r="M81" s="4" t="s">
        <v>20</v>
      </c>
      <c r="N81" s="4">
        <f t="shared" si="6"/>
        <v>472.91</v>
      </c>
      <c r="O81" s="4" t="s">
        <v>21</v>
      </c>
      <c r="P81" s="4">
        <f t="shared" si="7"/>
        <v>344.6</v>
      </c>
      <c r="Q81" s="4" t="s">
        <v>22</v>
      </c>
      <c r="R81" s="4" t="str">
        <f t="shared" si="8"/>
        <v>400.7(344.6,472.91)</v>
      </c>
      <c r="S81" s="4"/>
      <c r="T81" s="4"/>
      <c r="U81" s="4"/>
    </row>
    <row r="82" hidden="1" spans="1:21">
      <c r="A82" s="1" t="s">
        <v>267</v>
      </c>
      <c r="B82" s="1" t="s">
        <v>140</v>
      </c>
      <c r="C82" s="1" t="s">
        <v>13</v>
      </c>
      <c r="D82" s="1" t="s">
        <v>27</v>
      </c>
      <c r="E82" s="1" t="s">
        <v>15</v>
      </c>
      <c r="F82" s="1" t="s">
        <v>23</v>
      </c>
      <c r="G82" s="1">
        <v>1991</v>
      </c>
      <c r="H82" s="6" t="s">
        <v>274</v>
      </c>
      <c r="I82" s="6" t="s">
        <v>275</v>
      </c>
      <c r="J82" s="6" t="s">
        <v>276</v>
      </c>
      <c r="K82" s="1"/>
      <c r="L82" s="4">
        <f t="shared" si="5"/>
        <v>559.03</v>
      </c>
      <c r="M82" s="4" t="s">
        <v>20</v>
      </c>
      <c r="N82" s="4">
        <f t="shared" si="6"/>
        <v>656.18</v>
      </c>
      <c r="O82" s="4" t="s">
        <v>21</v>
      </c>
      <c r="P82" s="4">
        <f t="shared" si="7"/>
        <v>484.36</v>
      </c>
      <c r="Q82" s="4" t="s">
        <v>22</v>
      </c>
      <c r="R82" s="4" t="str">
        <f t="shared" si="8"/>
        <v>559.03(484.36,656.18)</v>
      </c>
      <c r="S82" s="4"/>
      <c r="T82" s="4"/>
      <c r="U82" s="4"/>
    </row>
    <row r="83" hidden="1" spans="1:21">
      <c r="A83" s="1" t="s">
        <v>267</v>
      </c>
      <c r="B83" s="1" t="s">
        <v>12</v>
      </c>
      <c r="C83" s="1" t="s">
        <v>13</v>
      </c>
      <c r="D83" s="1" t="s">
        <v>14</v>
      </c>
      <c r="E83" s="1" t="s">
        <v>15</v>
      </c>
      <c r="F83" s="1" t="s">
        <v>16</v>
      </c>
      <c r="G83" s="1">
        <v>1991</v>
      </c>
      <c r="H83" s="6" t="s">
        <v>277</v>
      </c>
      <c r="I83" s="6" t="s">
        <v>278</v>
      </c>
      <c r="J83" s="6" t="s">
        <v>279</v>
      </c>
      <c r="K83" s="1"/>
      <c r="L83" s="4">
        <f t="shared" si="5"/>
        <v>8062952.28</v>
      </c>
      <c r="M83" s="4" t="s">
        <v>20</v>
      </c>
      <c r="N83" s="4">
        <f t="shared" si="6"/>
        <v>9339292.24</v>
      </c>
      <c r="O83" s="4" t="s">
        <v>21</v>
      </c>
      <c r="P83" s="4">
        <f t="shared" si="7"/>
        <v>7027088.93</v>
      </c>
      <c r="Q83" s="4" t="s">
        <v>22</v>
      </c>
      <c r="R83" s="4" t="str">
        <f t="shared" si="8"/>
        <v>8062952.28(7027088.93,9339292.24)</v>
      </c>
      <c r="S83" s="4"/>
      <c r="T83" s="4"/>
      <c r="U83" s="4"/>
    </row>
    <row r="84" hidden="1" spans="1:21">
      <c r="A84" s="1" t="s">
        <v>267</v>
      </c>
      <c r="B84" s="1" t="s">
        <v>12</v>
      </c>
      <c r="C84" s="1" t="s">
        <v>13</v>
      </c>
      <c r="D84" s="1" t="s">
        <v>14</v>
      </c>
      <c r="E84" s="1" t="s">
        <v>15</v>
      </c>
      <c r="F84" s="1" t="s">
        <v>23</v>
      </c>
      <c r="G84" s="1">
        <v>1991</v>
      </c>
      <c r="H84" s="6" t="s">
        <v>280</v>
      </c>
      <c r="I84" s="6" t="s">
        <v>281</v>
      </c>
      <c r="J84" s="6" t="s">
        <v>282</v>
      </c>
      <c r="K84" s="1"/>
      <c r="L84" s="4">
        <f t="shared" si="5"/>
        <v>460.09</v>
      </c>
      <c r="M84" s="4" t="s">
        <v>20</v>
      </c>
      <c r="N84" s="4">
        <f t="shared" si="6"/>
        <v>532.92</v>
      </c>
      <c r="O84" s="4" t="s">
        <v>21</v>
      </c>
      <c r="P84" s="4">
        <f t="shared" si="7"/>
        <v>400.98</v>
      </c>
      <c r="Q84" s="4" t="s">
        <v>22</v>
      </c>
      <c r="R84" s="4" t="str">
        <f t="shared" si="8"/>
        <v>460.09(400.98,532.92)</v>
      </c>
      <c r="S84" s="4"/>
      <c r="T84" s="4"/>
      <c r="U84" s="4"/>
    </row>
    <row r="85" hidden="1" spans="1:21">
      <c r="A85" s="1" t="s">
        <v>267</v>
      </c>
      <c r="B85" s="1" t="s">
        <v>12</v>
      </c>
      <c r="C85" s="1" t="s">
        <v>13</v>
      </c>
      <c r="D85" s="1" t="s">
        <v>27</v>
      </c>
      <c r="E85" s="1" t="s">
        <v>15</v>
      </c>
      <c r="F85" s="1" t="s">
        <v>23</v>
      </c>
      <c r="G85" s="1">
        <v>1991</v>
      </c>
      <c r="H85" s="6" t="s">
        <v>283</v>
      </c>
      <c r="I85" s="6" t="s">
        <v>284</v>
      </c>
      <c r="J85" s="6" t="s">
        <v>285</v>
      </c>
      <c r="K85" s="1"/>
      <c r="L85" s="4">
        <f t="shared" si="5"/>
        <v>720.24</v>
      </c>
      <c r="M85" s="4" t="s">
        <v>20</v>
      </c>
      <c r="N85" s="4">
        <f t="shared" si="6"/>
        <v>827.86</v>
      </c>
      <c r="O85" s="4" t="s">
        <v>21</v>
      </c>
      <c r="P85" s="4">
        <f t="shared" si="7"/>
        <v>634.92</v>
      </c>
      <c r="Q85" s="4" t="s">
        <v>22</v>
      </c>
      <c r="R85" s="4" t="str">
        <f t="shared" si="8"/>
        <v>720.24(634.92,827.86)</v>
      </c>
      <c r="S85" s="4"/>
      <c r="T85" s="4"/>
      <c r="U85" s="4"/>
    </row>
    <row r="86" hidden="1" spans="1:21">
      <c r="A86" s="1" t="s">
        <v>267</v>
      </c>
      <c r="B86" s="1" t="s">
        <v>51</v>
      </c>
      <c r="C86" s="1" t="s">
        <v>13</v>
      </c>
      <c r="D86" s="1" t="s">
        <v>14</v>
      </c>
      <c r="E86" s="1" t="s">
        <v>15</v>
      </c>
      <c r="F86" s="1" t="s">
        <v>16</v>
      </c>
      <c r="G86" s="1">
        <v>1991</v>
      </c>
      <c r="H86" s="6" t="s">
        <v>286</v>
      </c>
      <c r="I86" s="6" t="s">
        <v>287</v>
      </c>
      <c r="J86" s="6" t="s">
        <v>288</v>
      </c>
      <c r="K86" s="1"/>
      <c r="L86" s="4">
        <f t="shared" si="5"/>
        <v>5593988.66</v>
      </c>
      <c r="M86" s="4" t="s">
        <v>20</v>
      </c>
      <c r="N86" s="4">
        <f t="shared" si="6"/>
        <v>6568361.08</v>
      </c>
      <c r="O86" s="4" t="s">
        <v>21</v>
      </c>
      <c r="P86" s="4">
        <f t="shared" si="7"/>
        <v>4856959.02</v>
      </c>
      <c r="Q86" s="4" t="s">
        <v>22</v>
      </c>
      <c r="R86" s="4" t="str">
        <f t="shared" si="8"/>
        <v>5593988.66(4856959.02,6568361.08)</v>
      </c>
      <c r="S86" s="4"/>
      <c r="T86" s="4"/>
      <c r="U86" s="4"/>
    </row>
    <row r="87" hidden="1" spans="1:21">
      <c r="A87" s="1" t="s">
        <v>267</v>
      </c>
      <c r="B87" s="1" t="s">
        <v>51</v>
      </c>
      <c r="C87" s="1" t="s">
        <v>13</v>
      </c>
      <c r="D87" s="1" t="s">
        <v>14</v>
      </c>
      <c r="E87" s="1" t="s">
        <v>15</v>
      </c>
      <c r="F87" s="1" t="s">
        <v>23</v>
      </c>
      <c r="G87" s="1">
        <v>1991</v>
      </c>
      <c r="H87" s="6" t="s">
        <v>289</v>
      </c>
      <c r="I87" s="6" t="s">
        <v>290</v>
      </c>
      <c r="J87" s="6" t="s">
        <v>291</v>
      </c>
      <c r="K87" s="1"/>
      <c r="L87" s="4">
        <f t="shared" si="5"/>
        <v>611.13</v>
      </c>
      <c r="M87" s="4" t="s">
        <v>20</v>
      </c>
      <c r="N87" s="4">
        <f t="shared" si="6"/>
        <v>717.57</v>
      </c>
      <c r="O87" s="4" t="s">
        <v>21</v>
      </c>
      <c r="P87" s="4">
        <f t="shared" si="7"/>
        <v>530.61</v>
      </c>
      <c r="Q87" s="4" t="s">
        <v>22</v>
      </c>
      <c r="R87" s="4" t="str">
        <f t="shared" si="8"/>
        <v>611.13(530.61,717.57)</v>
      </c>
      <c r="S87" s="4"/>
      <c r="T87" s="4"/>
      <c r="U87" s="4"/>
    </row>
    <row r="88" hidden="1" spans="1:21">
      <c r="A88" s="1" t="s">
        <v>267</v>
      </c>
      <c r="B88" s="1" t="s">
        <v>51</v>
      </c>
      <c r="C88" s="1" t="s">
        <v>13</v>
      </c>
      <c r="D88" s="1" t="s">
        <v>27</v>
      </c>
      <c r="E88" s="1" t="s">
        <v>15</v>
      </c>
      <c r="F88" s="1" t="s">
        <v>23</v>
      </c>
      <c r="G88" s="1">
        <v>1991</v>
      </c>
      <c r="H88" s="6" t="s">
        <v>292</v>
      </c>
      <c r="I88" s="6" t="s">
        <v>293</v>
      </c>
      <c r="J88" s="6" t="s">
        <v>294</v>
      </c>
      <c r="K88" s="1"/>
      <c r="L88" s="4">
        <f t="shared" si="5"/>
        <v>468.94</v>
      </c>
      <c r="M88" s="4" t="s">
        <v>20</v>
      </c>
      <c r="N88" s="4">
        <f t="shared" si="6"/>
        <v>553.24</v>
      </c>
      <c r="O88" s="4" t="s">
        <v>21</v>
      </c>
      <c r="P88" s="4">
        <f t="shared" si="7"/>
        <v>405.4</v>
      </c>
      <c r="Q88" s="4" t="s">
        <v>22</v>
      </c>
      <c r="R88" s="4" t="str">
        <f t="shared" si="8"/>
        <v>468.94(405.4,553.24)</v>
      </c>
      <c r="S88" s="4"/>
      <c r="T88" s="4"/>
      <c r="U88" s="4"/>
    </row>
    <row r="89" hidden="1" spans="1:21">
      <c r="A89" s="1" t="s">
        <v>267</v>
      </c>
      <c r="B89" s="1" t="s">
        <v>120</v>
      </c>
      <c r="C89" s="1" t="s">
        <v>13</v>
      </c>
      <c r="D89" s="1" t="s">
        <v>14</v>
      </c>
      <c r="E89" s="1" t="s">
        <v>15</v>
      </c>
      <c r="F89" s="1" t="s">
        <v>16</v>
      </c>
      <c r="G89" s="1">
        <v>1991</v>
      </c>
      <c r="H89" s="6" t="s">
        <v>295</v>
      </c>
      <c r="I89" s="6" t="s">
        <v>296</v>
      </c>
      <c r="J89" s="6" t="s">
        <v>297</v>
      </c>
      <c r="K89" s="1"/>
      <c r="L89" s="4">
        <f t="shared" si="5"/>
        <v>1379301.68</v>
      </c>
      <c r="M89" s="4" t="s">
        <v>20</v>
      </c>
      <c r="N89" s="4">
        <f t="shared" si="6"/>
        <v>1619807.95</v>
      </c>
      <c r="O89" s="4" t="s">
        <v>21</v>
      </c>
      <c r="P89" s="4">
        <f t="shared" si="7"/>
        <v>1201108.16</v>
      </c>
      <c r="Q89" s="4" t="s">
        <v>22</v>
      </c>
      <c r="R89" s="4" t="str">
        <f t="shared" si="8"/>
        <v>1379301.68(1201108.16,1619807.95)</v>
      </c>
      <c r="S89" s="4"/>
      <c r="T89" s="4"/>
      <c r="U89" s="4"/>
    </row>
    <row r="90" hidden="1" spans="1:21">
      <c r="A90" s="1" t="s">
        <v>267</v>
      </c>
      <c r="B90" s="1" t="s">
        <v>120</v>
      </c>
      <c r="C90" s="1" t="s">
        <v>13</v>
      </c>
      <c r="D90" s="1" t="s">
        <v>14</v>
      </c>
      <c r="E90" s="1" t="s">
        <v>15</v>
      </c>
      <c r="F90" s="1" t="s">
        <v>23</v>
      </c>
      <c r="G90" s="1">
        <v>1991</v>
      </c>
      <c r="H90" s="6" t="s">
        <v>298</v>
      </c>
      <c r="I90" s="6" t="s">
        <v>299</v>
      </c>
      <c r="J90" s="6" t="s">
        <v>300</v>
      </c>
      <c r="K90" s="1"/>
      <c r="L90" s="4">
        <f t="shared" si="5"/>
        <v>397.02</v>
      </c>
      <c r="M90" s="4" t="s">
        <v>20</v>
      </c>
      <c r="N90" s="4">
        <f t="shared" si="6"/>
        <v>466.25</v>
      </c>
      <c r="O90" s="4" t="s">
        <v>21</v>
      </c>
      <c r="P90" s="4">
        <f t="shared" si="7"/>
        <v>345.73</v>
      </c>
      <c r="Q90" s="4" t="s">
        <v>22</v>
      </c>
      <c r="R90" s="4" t="str">
        <f t="shared" si="8"/>
        <v>397.02(345.73,466.25)</v>
      </c>
      <c r="S90" s="4"/>
      <c r="T90" s="4"/>
      <c r="U90" s="4"/>
    </row>
    <row r="91" hidden="1" spans="1:21">
      <c r="A91" s="1" t="s">
        <v>267</v>
      </c>
      <c r="B91" s="1" t="s">
        <v>120</v>
      </c>
      <c r="C91" s="1" t="s">
        <v>13</v>
      </c>
      <c r="D91" s="1" t="s">
        <v>27</v>
      </c>
      <c r="E91" s="1" t="s">
        <v>15</v>
      </c>
      <c r="F91" s="1" t="s">
        <v>23</v>
      </c>
      <c r="G91" s="1">
        <v>1991</v>
      </c>
      <c r="H91" s="6" t="s">
        <v>301</v>
      </c>
      <c r="I91" s="6" t="s">
        <v>302</v>
      </c>
      <c r="J91" s="6" t="s">
        <v>303</v>
      </c>
      <c r="K91" s="1"/>
      <c r="L91" s="4">
        <f t="shared" si="5"/>
        <v>770.05</v>
      </c>
      <c r="M91" s="4" t="s">
        <v>20</v>
      </c>
      <c r="N91" s="4">
        <f t="shared" si="6"/>
        <v>898.05</v>
      </c>
      <c r="O91" s="4" t="s">
        <v>21</v>
      </c>
      <c r="P91" s="4">
        <f t="shared" si="7"/>
        <v>676.71</v>
      </c>
      <c r="Q91" s="4" t="s">
        <v>22</v>
      </c>
      <c r="R91" s="4" t="str">
        <f t="shared" si="8"/>
        <v>770.05(676.71,898.05)</v>
      </c>
      <c r="S91" s="4"/>
      <c r="T91" s="4"/>
      <c r="U91" s="4"/>
    </row>
    <row r="92" hidden="1" spans="1:21">
      <c r="A92" s="1" t="s">
        <v>267</v>
      </c>
      <c r="B92" s="1" t="s">
        <v>61</v>
      </c>
      <c r="C92" s="1" t="s">
        <v>13</v>
      </c>
      <c r="D92" s="1" t="s">
        <v>14</v>
      </c>
      <c r="E92" s="1" t="s">
        <v>15</v>
      </c>
      <c r="F92" s="1" t="s">
        <v>16</v>
      </c>
      <c r="G92" s="1">
        <v>1991</v>
      </c>
      <c r="H92" s="6" t="s">
        <v>304</v>
      </c>
      <c r="I92" s="6" t="s">
        <v>305</v>
      </c>
      <c r="J92" s="6" t="s">
        <v>306</v>
      </c>
      <c r="K92" s="1"/>
      <c r="L92" s="4">
        <f t="shared" si="5"/>
        <v>1791477.29</v>
      </c>
      <c r="M92" s="4" t="s">
        <v>20</v>
      </c>
      <c r="N92" s="4">
        <f t="shared" si="6"/>
        <v>2168884.46</v>
      </c>
      <c r="O92" s="4" t="s">
        <v>21</v>
      </c>
      <c r="P92" s="4">
        <f t="shared" si="7"/>
        <v>1503430</v>
      </c>
      <c r="Q92" s="4" t="s">
        <v>22</v>
      </c>
      <c r="R92" s="4" t="str">
        <f t="shared" si="8"/>
        <v>1791477.29(1503430,2168884.46)</v>
      </c>
      <c r="S92" s="4"/>
      <c r="T92" s="4"/>
      <c r="U92" s="4"/>
    </row>
    <row r="93" hidden="1" spans="1:21">
      <c r="A93" s="1" t="s">
        <v>267</v>
      </c>
      <c r="B93" s="1" t="s">
        <v>61</v>
      </c>
      <c r="C93" s="1" t="s">
        <v>13</v>
      </c>
      <c r="D93" s="1" t="s">
        <v>14</v>
      </c>
      <c r="E93" s="1" t="s">
        <v>15</v>
      </c>
      <c r="F93" s="1" t="s">
        <v>23</v>
      </c>
      <c r="G93" s="1">
        <v>1991</v>
      </c>
      <c r="H93" s="6" t="s">
        <v>307</v>
      </c>
      <c r="I93" s="6" t="s">
        <v>308</v>
      </c>
      <c r="J93" s="6" t="s">
        <v>309</v>
      </c>
      <c r="K93" s="1"/>
      <c r="L93" s="4">
        <f t="shared" si="5"/>
        <v>424.35</v>
      </c>
      <c r="M93" s="4" t="s">
        <v>20</v>
      </c>
      <c r="N93" s="4">
        <f t="shared" si="6"/>
        <v>513.75</v>
      </c>
      <c r="O93" s="4" t="s">
        <v>21</v>
      </c>
      <c r="P93" s="4">
        <f t="shared" si="7"/>
        <v>356.12</v>
      </c>
      <c r="Q93" s="4" t="s">
        <v>22</v>
      </c>
      <c r="R93" s="4" t="str">
        <f t="shared" si="8"/>
        <v>424.35(356.12,513.75)</v>
      </c>
      <c r="S93" s="4"/>
      <c r="T93" s="4"/>
      <c r="U93" s="4"/>
    </row>
    <row r="94" hidden="1" spans="1:21">
      <c r="A94" s="1" t="s">
        <v>267</v>
      </c>
      <c r="B94" s="1" t="s">
        <v>61</v>
      </c>
      <c r="C94" s="1" t="s">
        <v>13</v>
      </c>
      <c r="D94" s="1" t="s">
        <v>27</v>
      </c>
      <c r="E94" s="1" t="s">
        <v>15</v>
      </c>
      <c r="F94" s="1" t="s">
        <v>23</v>
      </c>
      <c r="G94" s="1">
        <v>1991</v>
      </c>
      <c r="H94" s="6" t="s">
        <v>310</v>
      </c>
      <c r="I94" s="6" t="s">
        <v>311</v>
      </c>
      <c r="J94" s="6" t="s">
        <v>312</v>
      </c>
      <c r="K94" s="1"/>
      <c r="L94" s="4">
        <f t="shared" si="5"/>
        <v>370.49</v>
      </c>
      <c r="M94" s="4" t="s">
        <v>20</v>
      </c>
      <c r="N94" s="4">
        <f t="shared" si="6"/>
        <v>448.54</v>
      </c>
      <c r="O94" s="4" t="s">
        <v>21</v>
      </c>
      <c r="P94" s="4">
        <f t="shared" si="7"/>
        <v>310.54</v>
      </c>
      <c r="Q94" s="4" t="s">
        <v>22</v>
      </c>
      <c r="R94" s="4" t="str">
        <f t="shared" si="8"/>
        <v>370.49(310.54,448.54)</v>
      </c>
      <c r="S94" s="4"/>
      <c r="T94" s="4"/>
      <c r="U94" s="4"/>
    </row>
    <row r="95" hidden="1" spans="1:21">
      <c r="A95" s="1" t="s">
        <v>267</v>
      </c>
      <c r="B95" s="1" t="s">
        <v>71</v>
      </c>
      <c r="C95" s="1" t="s">
        <v>13</v>
      </c>
      <c r="D95" s="1" t="s">
        <v>14</v>
      </c>
      <c r="E95" s="1" t="s">
        <v>15</v>
      </c>
      <c r="F95" s="1" t="s">
        <v>16</v>
      </c>
      <c r="G95" s="1">
        <v>1991</v>
      </c>
      <c r="H95" s="6" t="s">
        <v>313</v>
      </c>
      <c r="I95" s="6" t="s">
        <v>314</v>
      </c>
      <c r="J95" s="6" t="s">
        <v>315</v>
      </c>
      <c r="K95" s="1"/>
      <c r="L95" s="4">
        <f t="shared" si="5"/>
        <v>3076835.07</v>
      </c>
      <c r="M95" s="4" t="s">
        <v>20</v>
      </c>
      <c r="N95" s="4">
        <f t="shared" si="6"/>
        <v>3480022.25</v>
      </c>
      <c r="O95" s="4" t="s">
        <v>21</v>
      </c>
      <c r="P95" s="4">
        <f t="shared" si="7"/>
        <v>2753401.89</v>
      </c>
      <c r="Q95" s="4" t="s">
        <v>22</v>
      </c>
      <c r="R95" s="4" t="str">
        <f t="shared" si="8"/>
        <v>3076835.07(2753401.89,3480022.25)</v>
      </c>
      <c r="S95" s="4"/>
      <c r="T95" s="4"/>
      <c r="U95" s="4"/>
    </row>
    <row r="96" hidden="1" spans="1:21">
      <c r="A96" s="1" t="s">
        <v>267</v>
      </c>
      <c r="B96" s="1" t="s">
        <v>71</v>
      </c>
      <c r="C96" s="1" t="s">
        <v>13</v>
      </c>
      <c r="D96" s="1" t="s">
        <v>14</v>
      </c>
      <c r="E96" s="1" t="s">
        <v>15</v>
      </c>
      <c r="F96" s="1" t="s">
        <v>23</v>
      </c>
      <c r="G96" s="1">
        <v>1991</v>
      </c>
      <c r="H96" s="6" t="s">
        <v>316</v>
      </c>
      <c r="I96" s="6" t="s">
        <v>317</v>
      </c>
      <c r="J96" s="6" t="s">
        <v>318</v>
      </c>
      <c r="K96" s="1"/>
      <c r="L96" s="4">
        <f t="shared" si="5"/>
        <v>773.8</v>
      </c>
      <c r="M96" s="4" t="s">
        <v>20</v>
      </c>
      <c r="N96" s="4">
        <f t="shared" si="6"/>
        <v>875.19</v>
      </c>
      <c r="O96" s="4" t="s">
        <v>21</v>
      </c>
      <c r="P96" s="4">
        <f t="shared" si="7"/>
        <v>692.46</v>
      </c>
      <c r="Q96" s="4" t="s">
        <v>22</v>
      </c>
      <c r="R96" s="4" t="str">
        <f t="shared" si="8"/>
        <v>773.8(692.46,875.19)</v>
      </c>
      <c r="S96" s="4"/>
      <c r="T96" s="4"/>
      <c r="U96" s="4"/>
    </row>
    <row r="97" hidden="1" spans="1:21">
      <c r="A97" s="1" t="s">
        <v>267</v>
      </c>
      <c r="B97" s="1" t="s">
        <v>71</v>
      </c>
      <c r="C97" s="1" t="s">
        <v>13</v>
      </c>
      <c r="D97" s="1" t="s">
        <v>27</v>
      </c>
      <c r="E97" s="1" t="s">
        <v>15</v>
      </c>
      <c r="F97" s="1" t="s">
        <v>23</v>
      </c>
      <c r="G97" s="1">
        <v>1991</v>
      </c>
      <c r="H97" s="6" t="s">
        <v>319</v>
      </c>
      <c r="I97" s="6" t="s">
        <v>320</v>
      </c>
      <c r="J97" s="6" t="s">
        <v>321</v>
      </c>
      <c r="K97" s="1"/>
      <c r="L97" s="4">
        <f t="shared" si="5"/>
        <v>1276.87</v>
      </c>
      <c r="M97" s="4" t="s">
        <v>20</v>
      </c>
      <c r="N97" s="4">
        <f t="shared" si="6"/>
        <v>1436.67</v>
      </c>
      <c r="O97" s="4" t="s">
        <v>21</v>
      </c>
      <c r="P97" s="4">
        <f t="shared" si="7"/>
        <v>1146.21</v>
      </c>
      <c r="Q97" s="4" t="s">
        <v>22</v>
      </c>
      <c r="R97" s="4" t="str">
        <f t="shared" si="8"/>
        <v>1276.87(1146.21,1436.67)</v>
      </c>
      <c r="S97" s="4"/>
      <c r="T97" s="4"/>
      <c r="U97" s="4"/>
    </row>
    <row r="98" hidden="1" spans="1:21">
      <c r="A98" s="1" t="s">
        <v>267</v>
      </c>
      <c r="B98" s="1" t="s">
        <v>81</v>
      </c>
      <c r="C98" s="1" t="s">
        <v>13</v>
      </c>
      <c r="D98" s="1" t="s">
        <v>14</v>
      </c>
      <c r="E98" s="1" t="s">
        <v>15</v>
      </c>
      <c r="F98" s="1" t="s">
        <v>16</v>
      </c>
      <c r="G98" s="1">
        <v>1991</v>
      </c>
      <c r="H98" s="6" t="s">
        <v>322</v>
      </c>
      <c r="I98" s="6" t="s">
        <v>323</v>
      </c>
      <c r="J98" s="6" t="s">
        <v>324</v>
      </c>
      <c r="K98" s="1"/>
      <c r="L98" s="4">
        <f t="shared" si="5"/>
        <v>5176683.13</v>
      </c>
      <c r="M98" s="4" t="s">
        <v>20</v>
      </c>
      <c r="N98" s="4">
        <f t="shared" si="6"/>
        <v>6094167.35</v>
      </c>
      <c r="O98" s="4" t="s">
        <v>21</v>
      </c>
      <c r="P98" s="4">
        <f t="shared" si="7"/>
        <v>4464419.68</v>
      </c>
      <c r="Q98" s="4" t="s">
        <v>22</v>
      </c>
      <c r="R98" s="4" t="str">
        <f t="shared" si="8"/>
        <v>5176683.13(4464419.68,6094167.35)</v>
      </c>
      <c r="S98" s="4"/>
      <c r="T98" s="4"/>
      <c r="U98" s="4"/>
    </row>
    <row r="99" hidden="1" spans="1:21">
      <c r="A99" s="1" t="s">
        <v>267</v>
      </c>
      <c r="B99" s="1" t="s">
        <v>81</v>
      </c>
      <c r="C99" s="1" t="s">
        <v>13</v>
      </c>
      <c r="D99" s="1" t="s">
        <v>14</v>
      </c>
      <c r="E99" s="1" t="s">
        <v>15</v>
      </c>
      <c r="F99" s="1" t="s">
        <v>23</v>
      </c>
      <c r="G99" s="1">
        <v>1991</v>
      </c>
      <c r="H99" s="6" t="s">
        <v>325</v>
      </c>
      <c r="I99" s="6" t="s">
        <v>326</v>
      </c>
      <c r="J99" s="6" t="s">
        <v>327</v>
      </c>
      <c r="K99" s="1"/>
      <c r="L99" s="4">
        <f t="shared" si="5"/>
        <v>583.84</v>
      </c>
      <c r="M99" s="4" t="s">
        <v>20</v>
      </c>
      <c r="N99" s="4">
        <f t="shared" si="6"/>
        <v>687.32</v>
      </c>
      <c r="O99" s="4" t="s">
        <v>21</v>
      </c>
      <c r="P99" s="4">
        <f t="shared" si="7"/>
        <v>503.51</v>
      </c>
      <c r="Q99" s="4" t="s">
        <v>22</v>
      </c>
      <c r="R99" s="4" t="str">
        <f t="shared" si="8"/>
        <v>583.84(503.51,687.32)</v>
      </c>
      <c r="S99" s="4"/>
      <c r="T99" s="4"/>
      <c r="U99" s="4"/>
    </row>
    <row r="100" hidden="1" spans="1:21">
      <c r="A100" s="1" t="s">
        <v>267</v>
      </c>
      <c r="B100" s="1" t="s">
        <v>81</v>
      </c>
      <c r="C100" s="1" t="s">
        <v>13</v>
      </c>
      <c r="D100" s="1" t="s">
        <v>27</v>
      </c>
      <c r="E100" s="1" t="s">
        <v>15</v>
      </c>
      <c r="F100" s="1" t="s">
        <v>23</v>
      </c>
      <c r="G100" s="1">
        <v>1991</v>
      </c>
      <c r="H100" s="6" t="s">
        <v>328</v>
      </c>
      <c r="I100" s="6" t="s">
        <v>329</v>
      </c>
      <c r="J100" s="6" t="s">
        <v>330</v>
      </c>
      <c r="K100" s="1"/>
      <c r="L100" s="4">
        <f t="shared" si="5"/>
        <v>469.63</v>
      </c>
      <c r="M100" s="4" t="s">
        <v>20</v>
      </c>
      <c r="N100" s="4">
        <f t="shared" si="6"/>
        <v>554.4</v>
      </c>
      <c r="O100" s="4" t="s">
        <v>21</v>
      </c>
      <c r="P100" s="4">
        <f t="shared" si="7"/>
        <v>403.52</v>
      </c>
      <c r="Q100" s="4" t="s">
        <v>22</v>
      </c>
      <c r="R100" s="4" t="str">
        <f t="shared" si="8"/>
        <v>469.63(403.52,554.4)</v>
      </c>
      <c r="S100" s="4"/>
      <c r="T100" s="4"/>
      <c r="U100" s="4"/>
    </row>
    <row r="101" hidden="1" spans="1:21">
      <c r="A101" s="1" t="s">
        <v>267</v>
      </c>
      <c r="B101" s="1" t="s">
        <v>110</v>
      </c>
      <c r="C101" s="1" t="s">
        <v>13</v>
      </c>
      <c r="D101" s="1" t="s">
        <v>14</v>
      </c>
      <c r="E101" s="1" t="s">
        <v>15</v>
      </c>
      <c r="F101" s="1" t="s">
        <v>16</v>
      </c>
      <c r="G101" s="1">
        <v>1991</v>
      </c>
      <c r="H101" s="6" t="s">
        <v>331</v>
      </c>
      <c r="I101" s="6" t="s">
        <v>332</v>
      </c>
      <c r="J101" s="6" t="s">
        <v>333</v>
      </c>
      <c r="K101" s="1"/>
      <c r="L101" s="4">
        <f t="shared" si="5"/>
        <v>2505216.68</v>
      </c>
      <c r="M101" s="4" t="s">
        <v>20</v>
      </c>
      <c r="N101" s="4">
        <f t="shared" si="6"/>
        <v>2785162.73</v>
      </c>
      <c r="O101" s="4" t="s">
        <v>21</v>
      </c>
      <c r="P101" s="4">
        <f t="shared" si="7"/>
        <v>2269056.4</v>
      </c>
      <c r="Q101" s="4" t="s">
        <v>22</v>
      </c>
      <c r="R101" s="4" t="str">
        <f t="shared" si="8"/>
        <v>2505216.68(2269056.4,2785162.73)</v>
      </c>
      <c r="S101" s="4"/>
      <c r="T101" s="4"/>
      <c r="U101" s="4"/>
    </row>
    <row r="102" hidden="1" spans="1:21">
      <c r="A102" s="1" t="s">
        <v>267</v>
      </c>
      <c r="B102" s="1" t="s">
        <v>110</v>
      </c>
      <c r="C102" s="1" t="s">
        <v>13</v>
      </c>
      <c r="D102" s="1" t="s">
        <v>14</v>
      </c>
      <c r="E102" s="1" t="s">
        <v>15</v>
      </c>
      <c r="F102" s="1" t="s">
        <v>23</v>
      </c>
      <c r="G102" s="1">
        <v>1991</v>
      </c>
      <c r="H102" s="6" t="s">
        <v>334</v>
      </c>
      <c r="I102" s="6" t="s">
        <v>335</v>
      </c>
      <c r="J102" s="6" t="s">
        <v>336</v>
      </c>
      <c r="K102" s="1"/>
      <c r="L102" s="4">
        <f t="shared" si="5"/>
        <v>496.21</v>
      </c>
      <c r="M102" s="4" t="s">
        <v>20</v>
      </c>
      <c r="N102" s="4">
        <f t="shared" si="6"/>
        <v>551.66</v>
      </c>
      <c r="O102" s="4" t="s">
        <v>21</v>
      </c>
      <c r="P102" s="4">
        <f t="shared" si="7"/>
        <v>449.44</v>
      </c>
      <c r="Q102" s="4" t="s">
        <v>22</v>
      </c>
      <c r="R102" s="4" t="str">
        <f t="shared" si="8"/>
        <v>496.21(449.44,551.66)</v>
      </c>
      <c r="S102" s="4"/>
      <c r="T102" s="4"/>
      <c r="U102" s="4"/>
    </row>
    <row r="103" hidden="1" spans="1:21">
      <c r="A103" s="1" t="s">
        <v>267</v>
      </c>
      <c r="B103" s="1" t="s">
        <v>110</v>
      </c>
      <c r="C103" s="1" t="s">
        <v>13</v>
      </c>
      <c r="D103" s="1" t="s">
        <v>27</v>
      </c>
      <c r="E103" s="1" t="s">
        <v>15</v>
      </c>
      <c r="F103" s="1" t="s">
        <v>23</v>
      </c>
      <c r="G103" s="1">
        <v>1991</v>
      </c>
      <c r="H103" s="6" t="s">
        <v>337</v>
      </c>
      <c r="I103" s="6" t="s">
        <v>338</v>
      </c>
      <c r="J103" s="6" t="s">
        <v>339</v>
      </c>
      <c r="K103" s="1"/>
      <c r="L103" s="4">
        <f t="shared" si="5"/>
        <v>1101.58</v>
      </c>
      <c r="M103" s="4" t="s">
        <v>20</v>
      </c>
      <c r="N103" s="4">
        <f t="shared" si="6"/>
        <v>1216.57</v>
      </c>
      <c r="O103" s="4" t="s">
        <v>21</v>
      </c>
      <c r="P103" s="4">
        <f t="shared" si="7"/>
        <v>998.07</v>
      </c>
      <c r="Q103" s="4" t="s">
        <v>22</v>
      </c>
      <c r="R103" s="4" t="str">
        <f t="shared" si="8"/>
        <v>1101.58(998.07,1216.57)</v>
      </c>
      <c r="S103" s="4"/>
      <c r="T103" s="4"/>
      <c r="U103" s="4"/>
    </row>
    <row r="104" hidden="1" spans="1:21">
      <c r="A104" s="1" t="s">
        <v>267</v>
      </c>
      <c r="B104" s="1" t="s">
        <v>31</v>
      </c>
      <c r="C104" s="1" t="s">
        <v>13</v>
      </c>
      <c r="D104" s="1" t="s">
        <v>14</v>
      </c>
      <c r="E104" s="1" t="s">
        <v>15</v>
      </c>
      <c r="F104" s="1" t="s">
        <v>16</v>
      </c>
      <c r="G104" s="1">
        <v>1991</v>
      </c>
      <c r="H104" s="6" t="s">
        <v>340</v>
      </c>
      <c r="I104" s="6" t="s">
        <v>341</v>
      </c>
      <c r="J104" s="6" t="s">
        <v>342</v>
      </c>
      <c r="K104" s="1"/>
      <c r="L104" s="4">
        <f t="shared" ref="L104:L167" si="9">ROUND(H104,2)</f>
        <v>2449814.11</v>
      </c>
      <c r="M104" s="4" t="s">
        <v>20</v>
      </c>
      <c r="N104" s="4">
        <f t="shared" si="6"/>
        <v>2746851.38</v>
      </c>
      <c r="O104" s="4" t="s">
        <v>21</v>
      </c>
      <c r="P104" s="4">
        <f t="shared" si="7"/>
        <v>2199866.5</v>
      </c>
      <c r="Q104" s="4" t="s">
        <v>22</v>
      </c>
      <c r="R104" s="4" t="str">
        <f t="shared" si="8"/>
        <v>2449814.11(2199866.5,2746851.38)</v>
      </c>
      <c r="S104" s="4"/>
      <c r="T104" s="4"/>
      <c r="U104" s="4"/>
    </row>
    <row r="105" hidden="1" spans="1:21">
      <c r="A105" s="1" t="s">
        <v>267</v>
      </c>
      <c r="B105" s="1" t="s">
        <v>31</v>
      </c>
      <c r="C105" s="1" t="s">
        <v>13</v>
      </c>
      <c r="D105" s="1" t="s">
        <v>14</v>
      </c>
      <c r="E105" s="1" t="s">
        <v>15</v>
      </c>
      <c r="F105" s="1" t="s">
        <v>23</v>
      </c>
      <c r="G105" s="1">
        <v>1991</v>
      </c>
      <c r="H105" s="6" t="s">
        <v>343</v>
      </c>
      <c r="I105" s="6" t="s">
        <v>344</v>
      </c>
      <c r="J105" s="6" t="s">
        <v>345</v>
      </c>
      <c r="K105" s="1"/>
      <c r="L105" s="4">
        <f t="shared" si="9"/>
        <v>477.25</v>
      </c>
      <c r="M105" s="4" t="s">
        <v>20</v>
      </c>
      <c r="N105" s="4">
        <f t="shared" si="6"/>
        <v>535.12</v>
      </c>
      <c r="O105" s="4" t="s">
        <v>21</v>
      </c>
      <c r="P105" s="4">
        <f t="shared" si="7"/>
        <v>428.56</v>
      </c>
      <c r="Q105" s="4" t="s">
        <v>22</v>
      </c>
      <c r="R105" s="4" t="str">
        <f t="shared" si="8"/>
        <v>477.25(428.56,535.12)</v>
      </c>
      <c r="S105" s="4"/>
      <c r="T105" s="4"/>
      <c r="U105" s="4"/>
    </row>
    <row r="106" hidden="1" spans="1:21">
      <c r="A106" s="1" t="s">
        <v>267</v>
      </c>
      <c r="B106" s="1" t="s">
        <v>31</v>
      </c>
      <c r="C106" s="1" t="s">
        <v>13</v>
      </c>
      <c r="D106" s="1" t="s">
        <v>27</v>
      </c>
      <c r="E106" s="1" t="s">
        <v>15</v>
      </c>
      <c r="F106" s="1" t="s">
        <v>23</v>
      </c>
      <c r="G106" s="1">
        <v>1991</v>
      </c>
      <c r="H106" s="6" t="s">
        <v>346</v>
      </c>
      <c r="I106" s="6" t="s">
        <v>347</v>
      </c>
      <c r="J106" s="6" t="s">
        <v>348</v>
      </c>
      <c r="K106" s="1"/>
      <c r="L106" s="4">
        <f t="shared" si="9"/>
        <v>1003.49</v>
      </c>
      <c r="M106" s="4" t="s">
        <v>20</v>
      </c>
      <c r="N106" s="4">
        <f t="shared" si="6"/>
        <v>1124.66</v>
      </c>
      <c r="O106" s="4" t="s">
        <v>21</v>
      </c>
      <c r="P106" s="4">
        <f t="shared" si="7"/>
        <v>905.43</v>
      </c>
      <c r="Q106" s="4" t="s">
        <v>22</v>
      </c>
      <c r="R106" s="4" t="str">
        <f t="shared" si="8"/>
        <v>1003.49(905.43,1124.66)</v>
      </c>
      <c r="S106" s="4"/>
      <c r="T106" s="4"/>
      <c r="U106" s="4"/>
    </row>
    <row r="107" hidden="1" spans="1:21">
      <c r="A107" s="1" t="s">
        <v>267</v>
      </c>
      <c r="B107" s="1" t="s">
        <v>130</v>
      </c>
      <c r="C107" s="1" t="s">
        <v>13</v>
      </c>
      <c r="D107" s="1" t="s">
        <v>14</v>
      </c>
      <c r="E107" s="1" t="s">
        <v>15</v>
      </c>
      <c r="F107" s="1" t="s">
        <v>16</v>
      </c>
      <c r="G107" s="1">
        <v>1991</v>
      </c>
      <c r="H107" s="6" t="s">
        <v>349</v>
      </c>
      <c r="I107" s="6" t="s">
        <v>350</v>
      </c>
      <c r="J107" s="6" t="s">
        <v>351</v>
      </c>
      <c r="K107" s="1"/>
      <c r="L107" s="4">
        <f t="shared" si="9"/>
        <v>5226550.71</v>
      </c>
      <c r="M107" s="4" t="s">
        <v>20</v>
      </c>
      <c r="N107" s="4">
        <f t="shared" si="6"/>
        <v>5917726.2</v>
      </c>
      <c r="O107" s="4" t="s">
        <v>21</v>
      </c>
      <c r="P107" s="4">
        <f t="shared" si="7"/>
        <v>4616100.83</v>
      </c>
      <c r="Q107" s="4" t="s">
        <v>22</v>
      </c>
      <c r="R107" s="4" t="str">
        <f t="shared" si="8"/>
        <v>5226550.71(4616100.83,5917726.2)</v>
      </c>
      <c r="S107" s="4"/>
      <c r="T107" s="4"/>
      <c r="U107" s="4"/>
    </row>
    <row r="108" hidden="1" spans="1:21">
      <c r="A108" s="1" t="s">
        <v>267</v>
      </c>
      <c r="B108" s="1" t="s">
        <v>130</v>
      </c>
      <c r="C108" s="1" t="s">
        <v>13</v>
      </c>
      <c r="D108" s="1" t="s">
        <v>14</v>
      </c>
      <c r="E108" s="1" t="s">
        <v>15</v>
      </c>
      <c r="F108" s="1" t="s">
        <v>23</v>
      </c>
      <c r="G108" s="1">
        <v>1991</v>
      </c>
      <c r="H108" s="6" t="s">
        <v>352</v>
      </c>
      <c r="I108" s="6" t="s">
        <v>353</v>
      </c>
      <c r="J108" s="6" t="s">
        <v>354</v>
      </c>
      <c r="K108" s="1"/>
      <c r="L108" s="4">
        <f t="shared" si="9"/>
        <v>441.59</v>
      </c>
      <c r="M108" s="4" t="s">
        <v>20</v>
      </c>
      <c r="N108" s="4">
        <f t="shared" si="6"/>
        <v>499.99</v>
      </c>
      <c r="O108" s="4" t="s">
        <v>21</v>
      </c>
      <c r="P108" s="4">
        <f t="shared" si="7"/>
        <v>390.01</v>
      </c>
      <c r="Q108" s="4" t="s">
        <v>22</v>
      </c>
      <c r="R108" s="4" t="str">
        <f t="shared" si="8"/>
        <v>441.59(390.01,499.99)</v>
      </c>
      <c r="S108" s="4"/>
      <c r="T108" s="4"/>
      <c r="U108" s="4"/>
    </row>
    <row r="109" hidden="1" spans="1:21">
      <c r="A109" s="1" t="s">
        <v>267</v>
      </c>
      <c r="B109" s="1" t="s">
        <v>130</v>
      </c>
      <c r="C109" s="1" t="s">
        <v>13</v>
      </c>
      <c r="D109" s="1" t="s">
        <v>27</v>
      </c>
      <c r="E109" s="1" t="s">
        <v>15</v>
      </c>
      <c r="F109" s="1" t="s">
        <v>23</v>
      </c>
      <c r="G109" s="1">
        <v>1991</v>
      </c>
      <c r="H109" s="6" t="s">
        <v>355</v>
      </c>
      <c r="I109" s="6" t="s">
        <v>356</v>
      </c>
      <c r="J109" s="6" t="s">
        <v>357</v>
      </c>
      <c r="K109" s="1"/>
      <c r="L109" s="4">
        <f t="shared" si="9"/>
        <v>797.25</v>
      </c>
      <c r="M109" s="4" t="s">
        <v>20</v>
      </c>
      <c r="N109" s="4">
        <f t="shared" si="6"/>
        <v>893.84</v>
      </c>
      <c r="O109" s="4" t="s">
        <v>21</v>
      </c>
      <c r="P109" s="4">
        <f t="shared" si="7"/>
        <v>709.78</v>
      </c>
      <c r="Q109" s="4" t="s">
        <v>22</v>
      </c>
      <c r="R109" s="4" t="str">
        <f t="shared" si="8"/>
        <v>797.25(709.78,893.84)</v>
      </c>
      <c r="S109" s="4"/>
      <c r="T109" s="4"/>
      <c r="U109" s="4"/>
    </row>
    <row r="110" hidden="1" spans="1:21">
      <c r="A110" s="1" t="s">
        <v>267</v>
      </c>
      <c r="B110" s="1" t="s">
        <v>100</v>
      </c>
      <c r="C110" s="1" t="s">
        <v>13</v>
      </c>
      <c r="D110" s="1" t="s">
        <v>14</v>
      </c>
      <c r="E110" s="1" t="s">
        <v>15</v>
      </c>
      <c r="F110" s="1" t="s">
        <v>16</v>
      </c>
      <c r="G110" s="1">
        <v>1991</v>
      </c>
      <c r="H110" s="6" t="s">
        <v>358</v>
      </c>
      <c r="I110" s="6" t="s">
        <v>359</v>
      </c>
      <c r="J110" s="6" t="s">
        <v>360</v>
      </c>
      <c r="K110" s="1"/>
      <c r="L110" s="4">
        <f t="shared" si="9"/>
        <v>4885999.48</v>
      </c>
      <c r="M110" s="4" t="s">
        <v>20</v>
      </c>
      <c r="N110" s="4">
        <f t="shared" si="6"/>
        <v>5834781.9</v>
      </c>
      <c r="O110" s="4" t="s">
        <v>21</v>
      </c>
      <c r="P110" s="4">
        <f t="shared" si="7"/>
        <v>4161104.03</v>
      </c>
      <c r="Q110" s="4" t="s">
        <v>22</v>
      </c>
      <c r="R110" s="4" t="str">
        <f t="shared" si="8"/>
        <v>4885999.48(4161104.03,5834781.9)</v>
      </c>
      <c r="S110" s="4"/>
      <c r="T110" s="4"/>
      <c r="U110" s="4"/>
    </row>
    <row r="111" hidden="1" spans="1:21">
      <c r="A111" s="1" t="s">
        <v>267</v>
      </c>
      <c r="B111" s="1" t="s">
        <v>100</v>
      </c>
      <c r="C111" s="1" t="s">
        <v>13</v>
      </c>
      <c r="D111" s="1" t="s">
        <v>14</v>
      </c>
      <c r="E111" s="1" t="s">
        <v>15</v>
      </c>
      <c r="F111" s="1" t="s">
        <v>23</v>
      </c>
      <c r="G111" s="1">
        <v>1991</v>
      </c>
      <c r="H111" s="6" t="s">
        <v>361</v>
      </c>
      <c r="I111" s="6" t="s">
        <v>362</v>
      </c>
      <c r="J111" s="6" t="s">
        <v>363</v>
      </c>
      <c r="K111" s="1"/>
      <c r="L111" s="4">
        <f t="shared" si="9"/>
        <v>454.31</v>
      </c>
      <c r="M111" s="4" t="s">
        <v>20</v>
      </c>
      <c r="N111" s="4">
        <f t="shared" si="6"/>
        <v>542.53</v>
      </c>
      <c r="O111" s="4" t="s">
        <v>21</v>
      </c>
      <c r="P111" s="4">
        <f t="shared" si="7"/>
        <v>386.91</v>
      </c>
      <c r="Q111" s="4" t="s">
        <v>22</v>
      </c>
      <c r="R111" s="4" t="str">
        <f t="shared" si="8"/>
        <v>454.31(386.91,542.53)</v>
      </c>
      <c r="S111" s="4"/>
      <c r="T111" s="4"/>
      <c r="U111" s="4"/>
    </row>
    <row r="112" hidden="1" spans="1:21">
      <c r="A112" s="1" t="s">
        <v>267</v>
      </c>
      <c r="B112" s="1" t="s">
        <v>100</v>
      </c>
      <c r="C112" s="1" t="s">
        <v>13</v>
      </c>
      <c r="D112" s="1" t="s">
        <v>27</v>
      </c>
      <c r="E112" s="1" t="s">
        <v>15</v>
      </c>
      <c r="F112" s="1" t="s">
        <v>23</v>
      </c>
      <c r="G112" s="1">
        <v>1991</v>
      </c>
      <c r="H112" s="6" t="s">
        <v>364</v>
      </c>
      <c r="I112" s="6" t="s">
        <v>365</v>
      </c>
      <c r="J112" s="6" t="s">
        <v>366</v>
      </c>
      <c r="K112" s="1"/>
      <c r="L112" s="4">
        <f t="shared" si="9"/>
        <v>477</v>
      </c>
      <c r="M112" s="4" t="s">
        <v>20</v>
      </c>
      <c r="N112" s="4">
        <f t="shared" si="6"/>
        <v>566.72</v>
      </c>
      <c r="O112" s="4" t="s">
        <v>21</v>
      </c>
      <c r="P112" s="4">
        <f t="shared" si="7"/>
        <v>408.43</v>
      </c>
      <c r="Q112" s="4" t="s">
        <v>22</v>
      </c>
      <c r="R112" s="4" t="str">
        <f t="shared" si="8"/>
        <v>477(408.43,566.72)</v>
      </c>
      <c r="S112" s="4"/>
      <c r="T112" s="4"/>
      <c r="U112" s="4"/>
    </row>
    <row r="113" hidden="1" spans="1:21">
      <c r="A113" s="1" t="s">
        <v>267</v>
      </c>
      <c r="B113" s="1" t="s">
        <v>41</v>
      </c>
      <c r="C113" s="1" t="s">
        <v>13</v>
      </c>
      <c r="D113" s="1" t="s">
        <v>14</v>
      </c>
      <c r="E113" s="1" t="s">
        <v>15</v>
      </c>
      <c r="F113" s="1" t="s">
        <v>16</v>
      </c>
      <c r="G113" s="1">
        <v>1991</v>
      </c>
      <c r="H113" s="6" t="s">
        <v>367</v>
      </c>
      <c r="I113" s="6" t="s">
        <v>368</v>
      </c>
      <c r="J113" s="6" t="s">
        <v>369</v>
      </c>
      <c r="K113" s="1"/>
      <c r="L113" s="4">
        <f t="shared" si="9"/>
        <v>4624702.61</v>
      </c>
      <c r="M113" s="4" t="s">
        <v>20</v>
      </c>
      <c r="N113" s="4">
        <f t="shared" si="6"/>
        <v>5263941.89</v>
      </c>
      <c r="O113" s="4" t="s">
        <v>21</v>
      </c>
      <c r="P113" s="4">
        <f t="shared" si="7"/>
        <v>4014887.12</v>
      </c>
      <c r="Q113" s="4" t="s">
        <v>22</v>
      </c>
      <c r="R113" s="4" t="str">
        <f t="shared" si="8"/>
        <v>4624702.61(4014887.12,5263941.89)</v>
      </c>
      <c r="S113" s="4"/>
      <c r="T113" s="4"/>
      <c r="U113" s="4"/>
    </row>
    <row r="114" hidden="1" spans="1:21">
      <c r="A114" s="1" t="s">
        <v>267</v>
      </c>
      <c r="B114" s="1" t="s">
        <v>41</v>
      </c>
      <c r="C114" s="1" t="s">
        <v>13</v>
      </c>
      <c r="D114" s="1" t="s">
        <v>14</v>
      </c>
      <c r="E114" s="1" t="s">
        <v>15</v>
      </c>
      <c r="F114" s="1" t="s">
        <v>23</v>
      </c>
      <c r="G114" s="1">
        <v>1991</v>
      </c>
      <c r="H114" s="6" t="s">
        <v>370</v>
      </c>
      <c r="I114" s="6" t="s">
        <v>371</v>
      </c>
      <c r="J114" s="6" t="s">
        <v>372</v>
      </c>
      <c r="K114" s="1"/>
      <c r="L114" s="4">
        <f t="shared" si="9"/>
        <v>414.98</v>
      </c>
      <c r="M114" s="4" t="s">
        <v>20</v>
      </c>
      <c r="N114" s="4">
        <f t="shared" si="6"/>
        <v>472.34</v>
      </c>
      <c r="O114" s="4" t="s">
        <v>21</v>
      </c>
      <c r="P114" s="4">
        <f t="shared" si="7"/>
        <v>360.26</v>
      </c>
      <c r="Q114" s="4" t="s">
        <v>22</v>
      </c>
      <c r="R114" s="4" t="str">
        <f t="shared" si="8"/>
        <v>414.98(360.26,472.34)</v>
      </c>
      <c r="S114" s="4"/>
      <c r="T114" s="4"/>
      <c r="U114" s="4"/>
    </row>
    <row r="115" hidden="1" spans="1:21">
      <c r="A115" s="1" t="s">
        <v>267</v>
      </c>
      <c r="B115" s="1" t="s">
        <v>41</v>
      </c>
      <c r="C115" s="1" t="s">
        <v>13</v>
      </c>
      <c r="D115" s="1" t="s">
        <v>27</v>
      </c>
      <c r="E115" s="1" t="s">
        <v>15</v>
      </c>
      <c r="F115" s="1" t="s">
        <v>23</v>
      </c>
      <c r="G115" s="1">
        <v>1991</v>
      </c>
      <c r="H115" s="6" t="s">
        <v>373</v>
      </c>
      <c r="I115" s="6" t="s">
        <v>374</v>
      </c>
      <c r="J115" s="6" t="s">
        <v>375</v>
      </c>
      <c r="K115" s="1"/>
      <c r="L115" s="4">
        <f t="shared" si="9"/>
        <v>746.28</v>
      </c>
      <c r="M115" s="4" t="s">
        <v>20</v>
      </c>
      <c r="N115" s="4">
        <f t="shared" si="6"/>
        <v>844.56</v>
      </c>
      <c r="O115" s="4" t="s">
        <v>21</v>
      </c>
      <c r="P115" s="4">
        <f t="shared" si="7"/>
        <v>652.17</v>
      </c>
      <c r="Q115" s="4" t="s">
        <v>22</v>
      </c>
      <c r="R115" s="4" t="str">
        <f t="shared" si="8"/>
        <v>746.28(652.17,844.56)</v>
      </c>
      <c r="S115" s="4"/>
      <c r="T115" s="4"/>
      <c r="U115" s="4"/>
    </row>
    <row r="116" hidden="1" spans="1:21">
      <c r="A116" s="1" t="s">
        <v>267</v>
      </c>
      <c r="B116" s="1" t="s">
        <v>91</v>
      </c>
      <c r="C116" s="1" t="s">
        <v>13</v>
      </c>
      <c r="D116" s="1" t="s">
        <v>14</v>
      </c>
      <c r="E116" s="1" t="s">
        <v>15</v>
      </c>
      <c r="F116" s="1" t="s">
        <v>16</v>
      </c>
      <c r="G116" s="1">
        <v>1991</v>
      </c>
      <c r="H116" s="6" t="s">
        <v>376</v>
      </c>
      <c r="I116" s="6" t="s">
        <v>377</v>
      </c>
      <c r="J116" s="6" t="s">
        <v>378</v>
      </c>
      <c r="K116" s="1"/>
      <c r="L116" s="4">
        <f t="shared" si="9"/>
        <v>25842073.49</v>
      </c>
      <c r="M116" s="4" t="s">
        <v>20</v>
      </c>
      <c r="N116" s="4">
        <f t="shared" si="6"/>
        <v>29992010.76</v>
      </c>
      <c r="O116" s="4" t="s">
        <v>21</v>
      </c>
      <c r="P116" s="4">
        <f t="shared" si="7"/>
        <v>22632238.83</v>
      </c>
      <c r="Q116" s="4" t="s">
        <v>22</v>
      </c>
      <c r="R116" s="4" t="str">
        <f t="shared" si="8"/>
        <v>25842073.49(22632238.83,29992010.76)</v>
      </c>
      <c r="S116" s="4"/>
      <c r="T116" s="4"/>
      <c r="U116" s="4"/>
    </row>
    <row r="117" hidden="1" spans="1:21">
      <c r="A117" s="1" t="s">
        <v>267</v>
      </c>
      <c r="B117" s="1" t="s">
        <v>91</v>
      </c>
      <c r="C117" s="1" t="s">
        <v>13</v>
      </c>
      <c r="D117" s="1" t="s">
        <v>14</v>
      </c>
      <c r="E117" s="1" t="s">
        <v>15</v>
      </c>
      <c r="F117" s="1" t="s">
        <v>23</v>
      </c>
      <c r="G117" s="1">
        <v>1991</v>
      </c>
      <c r="H117" s="6" t="s">
        <v>379</v>
      </c>
      <c r="I117" s="6" t="s">
        <v>380</v>
      </c>
      <c r="J117" s="6" t="s">
        <v>381</v>
      </c>
      <c r="K117" s="1"/>
      <c r="L117" s="4">
        <f t="shared" si="9"/>
        <v>477.1</v>
      </c>
      <c r="M117" s="4" t="s">
        <v>20</v>
      </c>
      <c r="N117" s="4">
        <f t="shared" si="6"/>
        <v>553.71</v>
      </c>
      <c r="O117" s="4" t="s">
        <v>21</v>
      </c>
      <c r="P117" s="4">
        <f t="shared" si="7"/>
        <v>417.84</v>
      </c>
      <c r="Q117" s="4" t="s">
        <v>22</v>
      </c>
      <c r="R117" s="4" t="str">
        <f t="shared" si="8"/>
        <v>477.1(417.84,553.71)</v>
      </c>
      <c r="S117" s="4"/>
      <c r="T117" s="4"/>
      <c r="U117" s="4"/>
    </row>
    <row r="118" hidden="1" spans="1:21">
      <c r="A118" s="1" t="s">
        <v>267</v>
      </c>
      <c r="B118" s="1" t="s">
        <v>91</v>
      </c>
      <c r="C118" s="1" t="s">
        <v>13</v>
      </c>
      <c r="D118" s="1" t="s">
        <v>27</v>
      </c>
      <c r="E118" s="1" t="s">
        <v>15</v>
      </c>
      <c r="F118" s="1" t="s">
        <v>23</v>
      </c>
      <c r="G118" s="1">
        <v>1991</v>
      </c>
      <c r="H118" s="6" t="s">
        <v>382</v>
      </c>
      <c r="I118" s="6" t="s">
        <v>383</v>
      </c>
      <c r="J118" s="6" t="s">
        <v>384</v>
      </c>
      <c r="K118" s="1"/>
      <c r="L118" s="4">
        <f t="shared" si="9"/>
        <v>620.85</v>
      </c>
      <c r="M118" s="4" t="s">
        <v>20</v>
      </c>
      <c r="N118" s="4">
        <f t="shared" si="6"/>
        <v>716.69</v>
      </c>
      <c r="O118" s="4" t="s">
        <v>21</v>
      </c>
      <c r="P118" s="4">
        <f t="shared" si="7"/>
        <v>548.79</v>
      </c>
      <c r="Q118" s="4" t="s">
        <v>22</v>
      </c>
      <c r="R118" s="4" t="str">
        <f t="shared" si="8"/>
        <v>620.85(548.79,716.69)</v>
      </c>
      <c r="S118" s="4"/>
      <c r="T118" s="4"/>
      <c r="U118" s="4"/>
    </row>
    <row r="119" hidden="1" spans="1:21">
      <c r="A119" s="1" t="s">
        <v>267</v>
      </c>
      <c r="B119" s="1" t="s">
        <v>31</v>
      </c>
      <c r="C119" s="1" t="s">
        <v>13</v>
      </c>
      <c r="D119" s="1" t="s">
        <v>14</v>
      </c>
      <c r="E119" s="1" t="s">
        <v>15</v>
      </c>
      <c r="F119" s="1" t="s">
        <v>16</v>
      </c>
      <c r="G119" s="1">
        <v>2021</v>
      </c>
      <c r="H119" s="6" t="s">
        <v>385</v>
      </c>
      <c r="I119" s="6" t="s">
        <v>386</v>
      </c>
      <c r="J119" s="6" t="s">
        <v>387</v>
      </c>
      <c r="K119" s="1"/>
      <c r="L119" s="4">
        <f t="shared" si="9"/>
        <v>6474332.42</v>
      </c>
      <c r="M119" s="4" t="s">
        <v>20</v>
      </c>
      <c r="N119" s="4">
        <f t="shared" si="6"/>
        <v>7601172</v>
      </c>
      <c r="O119" s="4" t="s">
        <v>21</v>
      </c>
      <c r="P119" s="4">
        <f t="shared" si="7"/>
        <v>5608420.45</v>
      </c>
      <c r="Q119" s="4" t="s">
        <v>22</v>
      </c>
      <c r="R119" s="4" t="str">
        <f t="shared" si="8"/>
        <v>6474332.42(5608420.45,7601172)</v>
      </c>
      <c r="S119" s="4"/>
      <c r="T119" s="4"/>
      <c r="U119" s="4"/>
    </row>
    <row r="120" hidden="1" spans="1:21">
      <c r="A120" s="1" t="s">
        <v>267</v>
      </c>
      <c r="B120" s="1" t="s">
        <v>31</v>
      </c>
      <c r="C120" s="1" t="s">
        <v>13</v>
      </c>
      <c r="D120" s="1" t="s">
        <v>14</v>
      </c>
      <c r="E120" s="1" t="s">
        <v>15</v>
      </c>
      <c r="F120" s="1" t="s">
        <v>23</v>
      </c>
      <c r="G120" s="1">
        <v>2021</v>
      </c>
      <c r="H120" s="6" t="s">
        <v>388</v>
      </c>
      <c r="I120" s="6" t="s">
        <v>389</v>
      </c>
      <c r="J120" s="6" t="s">
        <v>390</v>
      </c>
      <c r="K120" s="1"/>
      <c r="L120" s="4">
        <f t="shared" si="9"/>
        <v>579.42</v>
      </c>
      <c r="M120" s="4" t="s">
        <v>20</v>
      </c>
      <c r="N120" s="4">
        <f t="shared" si="6"/>
        <v>680.27</v>
      </c>
      <c r="O120" s="4" t="s">
        <v>21</v>
      </c>
      <c r="P120" s="4">
        <f t="shared" si="7"/>
        <v>501.92</v>
      </c>
      <c r="Q120" s="4" t="s">
        <v>22</v>
      </c>
      <c r="R120" s="4" t="str">
        <f t="shared" si="8"/>
        <v>579.42(501.92,680.27)</v>
      </c>
      <c r="S120" s="4"/>
      <c r="T120" s="4"/>
      <c r="U120" s="4"/>
    </row>
    <row r="121" hidden="1" spans="1:21">
      <c r="A121" s="1" t="s">
        <v>267</v>
      </c>
      <c r="B121" s="1" t="s">
        <v>31</v>
      </c>
      <c r="C121" s="1" t="s">
        <v>13</v>
      </c>
      <c r="D121" s="1" t="s">
        <v>27</v>
      </c>
      <c r="E121" s="1" t="s">
        <v>15</v>
      </c>
      <c r="F121" s="1" t="s">
        <v>23</v>
      </c>
      <c r="G121" s="1">
        <v>2021</v>
      </c>
      <c r="H121" s="6" t="s">
        <v>391</v>
      </c>
      <c r="I121" s="6" t="s">
        <v>392</v>
      </c>
      <c r="J121" s="6" t="s">
        <v>393</v>
      </c>
      <c r="K121" s="1"/>
      <c r="L121" s="4">
        <f t="shared" si="9"/>
        <v>1172.94</v>
      </c>
      <c r="M121" s="4" t="s">
        <v>20</v>
      </c>
      <c r="N121" s="4">
        <f t="shared" si="6"/>
        <v>1362.03</v>
      </c>
      <c r="O121" s="4" t="s">
        <v>21</v>
      </c>
      <c r="P121" s="4">
        <f t="shared" si="7"/>
        <v>1026.09</v>
      </c>
      <c r="Q121" s="4" t="s">
        <v>22</v>
      </c>
      <c r="R121" s="4" t="str">
        <f t="shared" si="8"/>
        <v>1172.94(1026.09,1362.03)</v>
      </c>
      <c r="S121" s="4"/>
      <c r="T121" s="4"/>
      <c r="U121" s="4"/>
    </row>
    <row r="122" hidden="1" spans="1:21">
      <c r="A122" s="1" t="s">
        <v>267</v>
      </c>
      <c r="B122" s="1" t="s">
        <v>110</v>
      </c>
      <c r="C122" s="1" t="s">
        <v>13</v>
      </c>
      <c r="D122" s="1" t="s">
        <v>14</v>
      </c>
      <c r="E122" s="1" t="s">
        <v>15</v>
      </c>
      <c r="F122" s="1" t="s">
        <v>16</v>
      </c>
      <c r="G122" s="1">
        <v>2021</v>
      </c>
      <c r="H122" s="6" t="s">
        <v>394</v>
      </c>
      <c r="I122" s="6" t="s">
        <v>395</v>
      </c>
      <c r="J122" s="6" t="s">
        <v>396</v>
      </c>
      <c r="K122" s="1"/>
      <c r="L122" s="4">
        <f t="shared" si="9"/>
        <v>6853738.68</v>
      </c>
      <c r="M122" s="4" t="s">
        <v>20</v>
      </c>
      <c r="N122" s="4">
        <f t="shared" si="6"/>
        <v>7954124.37</v>
      </c>
      <c r="O122" s="4" t="s">
        <v>21</v>
      </c>
      <c r="P122" s="4">
        <f t="shared" si="7"/>
        <v>6099562.07</v>
      </c>
      <c r="Q122" s="4" t="s">
        <v>22</v>
      </c>
      <c r="R122" s="4" t="str">
        <f t="shared" si="8"/>
        <v>6853738.68(6099562.07,7954124.37)</v>
      </c>
      <c r="S122" s="4"/>
      <c r="T122" s="4"/>
      <c r="U122" s="4"/>
    </row>
    <row r="123" hidden="1" spans="1:21">
      <c r="A123" s="1" t="s">
        <v>267</v>
      </c>
      <c r="B123" s="1" t="s">
        <v>110</v>
      </c>
      <c r="C123" s="1" t="s">
        <v>13</v>
      </c>
      <c r="D123" s="1" t="s">
        <v>14</v>
      </c>
      <c r="E123" s="1" t="s">
        <v>15</v>
      </c>
      <c r="F123" s="1" t="s">
        <v>23</v>
      </c>
      <c r="G123" s="1">
        <v>2021</v>
      </c>
      <c r="H123" s="6" t="s">
        <v>397</v>
      </c>
      <c r="I123" s="6" t="s">
        <v>398</v>
      </c>
      <c r="J123" s="6" t="s">
        <v>399</v>
      </c>
      <c r="K123" s="1"/>
      <c r="L123" s="4">
        <f t="shared" si="9"/>
        <v>604.84</v>
      </c>
      <c r="M123" s="4" t="s">
        <v>20</v>
      </c>
      <c r="N123" s="4">
        <f t="shared" si="6"/>
        <v>701.94</v>
      </c>
      <c r="O123" s="4" t="s">
        <v>21</v>
      </c>
      <c r="P123" s="4">
        <f t="shared" si="7"/>
        <v>538.28</v>
      </c>
      <c r="Q123" s="4" t="s">
        <v>22</v>
      </c>
      <c r="R123" s="4" t="str">
        <f t="shared" si="8"/>
        <v>604.84(538.28,701.94)</v>
      </c>
      <c r="S123" s="4"/>
      <c r="T123" s="4"/>
      <c r="U123" s="4"/>
    </row>
    <row r="124" hidden="1" spans="1:21">
      <c r="A124" s="1" t="s">
        <v>267</v>
      </c>
      <c r="B124" s="1" t="s">
        <v>110</v>
      </c>
      <c r="C124" s="1" t="s">
        <v>13</v>
      </c>
      <c r="D124" s="1" t="s">
        <v>27</v>
      </c>
      <c r="E124" s="1" t="s">
        <v>15</v>
      </c>
      <c r="F124" s="1" t="s">
        <v>23</v>
      </c>
      <c r="G124" s="1">
        <v>2021</v>
      </c>
      <c r="H124" s="6" t="s">
        <v>400</v>
      </c>
      <c r="I124" s="6" t="s">
        <v>401</v>
      </c>
      <c r="J124" s="6" t="s">
        <v>402</v>
      </c>
      <c r="K124" s="1"/>
      <c r="L124" s="4">
        <f t="shared" si="9"/>
        <v>1340.8</v>
      </c>
      <c r="M124" s="4" t="s">
        <v>20</v>
      </c>
      <c r="N124" s="4">
        <f t="shared" si="6"/>
        <v>1538.26</v>
      </c>
      <c r="O124" s="4" t="s">
        <v>21</v>
      </c>
      <c r="P124" s="4">
        <f t="shared" si="7"/>
        <v>1202.64</v>
      </c>
      <c r="Q124" s="4" t="s">
        <v>22</v>
      </c>
      <c r="R124" s="4" t="str">
        <f t="shared" si="8"/>
        <v>1340.8(1202.64,1538.26)</v>
      </c>
      <c r="S124" s="4"/>
      <c r="T124" s="4"/>
      <c r="U124" s="4"/>
    </row>
    <row r="125" hidden="1" spans="1:21">
      <c r="A125" s="1" t="s">
        <v>267</v>
      </c>
      <c r="B125" s="1" t="s">
        <v>61</v>
      </c>
      <c r="C125" s="1" t="s">
        <v>13</v>
      </c>
      <c r="D125" s="1" t="s">
        <v>14</v>
      </c>
      <c r="E125" s="1" t="s">
        <v>15</v>
      </c>
      <c r="F125" s="1" t="s">
        <v>16</v>
      </c>
      <c r="G125" s="1">
        <v>2021</v>
      </c>
      <c r="H125" s="6" t="s">
        <v>403</v>
      </c>
      <c r="I125" s="6" t="s">
        <v>404</v>
      </c>
      <c r="J125" s="6" t="s">
        <v>405</v>
      </c>
      <c r="K125" s="1"/>
      <c r="L125" s="4">
        <f t="shared" si="9"/>
        <v>4122922.75</v>
      </c>
      <c r="M125" s="4" t="s">
        <v>20</v>
      </c>
      <c r="N125" s="4">
        <f t="shared" si="6"/>
        <v>5039610.67</v>
      </c>
      <c r="O125" s="4" t="s">
        <v>21</v>
      </c>
      <c r="P125" s="4">
        <f t="shared" si="7"/>
        <v>3437709.38</v>
      </c>
      <c r="Q125" s="4" t="s">
        <v>22</v>
      </c>
      <c r="R125" s="4" t="str">
        <f t="shared" si="8"/>
        <v>4122922.75(3437709.38,5039610.67)</v>
      </c>
      <c r="S125" s="4"/>
      <c r="T125" s="4"/>
      <c r="U125" s="4"/>
    </row>
    <row r="126" hidden="1" spans="1:21">
      <c r="A126" s="1" t="s">
        <v>267</v>
      </c>
      <c r="B126" s="1" t="s">
        <v>61</v>
      </c>
      <c r="C126" s="1" t="s">
        <v>13</v>
      </c>
      <c r="D126" s="1" t="s">
        <v>14</v>
      </c>
      <c r="E126" s="1" t="s">
        <v>15</v>
      </c>
      <c r="F126" s="1" t="s">
        <v>23</v>
      </c>
      <c r="G126" s="1">
        <v>2021</v>
      </c>
      <c r="H126" s="6" t="s">
        <v>406</v>
      </c>
      <c r="I126" s="6" t="s">
        <v>407</v>
      </c>
      <c r="J126" s="6" t="s">
        <v>408</v>
      </c>
      <c r="K126" s="1"/>
      <c r="L126" s="4">
        <f t="shared" si="9"/>
        <v>986.74</v>
      </c>
      <c r="M126" s="4" t="s">
        <v>20</v>
      </c>
      <c r="N126" s="4">
        <f t="shared" si="6"/>
        <v>1206.13</v>
      </c>
      <c r="O126" s="4" t="s">
        <v>21</v>
      </c>
      <c r="P126" s="4">
        <f t="shared" si="7"/>
        <v>822.75</v>
      </c>
      <c r="Q126" s="4" t="s">
        <v>22</v>
      </c>
      <c r="R126" s="4" t="str">
        <f t="shared" si="8"/>
        <v>986.74(822.75,1206.13)</v>
      </c>
      <c r="S126" s="4"/>
      <c r="T126" s="4"/>
      <c r="U126" s="4"/>
    </row>
    <row r="127" hidden="1" spans="1:21">
      <c r="A127" s="1" t="s">
        <v>267</v>
      </c>
      <c r="B127" s="1" t="s">
        <v>61</v>
      </c>
      <c r="C127" s="1" t="s">
        <v>13</v>
      </c>
      <c r="D127" s="1" t="s">
        <v>27</v>
      </c>
      <c r="E127" s="1" t="s">
        <v>15</v>
      </c>
      <c r="F127" s="1" t="s">
        <v>23</v>
      </c>
      <c r="G127" s="1">
        <v>2021</v>
      </c>
      <c r="H127" s="6" t="s">
        <v>409</v>
      </c>
      <c r="I127" s="6" t="s">
        <v>410</v>
      </c>
      <c r="J127" s="6" t="s">
        <v>411</v>
      </c>
      <c r="K127" s="1"/>
      <c r="L127" s="4">
        <f t="shared" si="9"/>
        <v>650.04</v>
      </c>
      <c r="M127" s="4" t="s">
        <v>20</v>
      </c>
      <c r="N127" s="4">
        <f t="shared" si="6"/>
        <v>796.42</v>
      </c>
      <c r="O127" s="4" t="s">
        <v>21</v>
      </c>
      <c r="P127" s="4">
        <f t="shared" si="7"/>
        <v>537.4</v>
      </c>
      <c r="Q127" s="4" t="s">
        <v>22</v>
      </c>
      <c r="R127" s="4" t="str">
        <f t="shared" si="8"/>
        <v>650.04(537.4,796.42)</v>
      </c>
      <c r="S127" s="4"/>
      <c r="T127" s="4"/>
      <c r="U127" s="4"/>
    </row>
    <row r="128" hidden="1" spans="1:21">
      <c r="A128" s="1" t="s">
        <v>267</v>
      </c>
      <c r="B128" s="1" t="s">
        <v>120</v>
      </c>
      <c r="C128" s="1" t="s">
        <v>13</v>
      </c>
      <c r="D128" s="1" t="s">
        <v>14</v>
      </c>
      <c r="E128" s="1" t="s">
        <v>15</v>
      </c>
      <c r="F128" s="1" t="s">
        <v>16</v>
      </c>
      <c r="G128" s="1">
        <v>2021</v>
      </c>
      <c r="H128" s="6" t="s">
        <v>412</v>
      </c>
      <c r="I128" s="6" t="s">
        <v>413</v>
      </c>
      <c r="J128" s="6" t="s">
        <v>414</v>
      </c>
      <c r="K128" s="1"/>
      <c r="L128" s="4">
        <f t="shared" si="9"/>
        <v>6306449.28</v>
      </c>
      <c r="M128" s="4" t="s">
        <v>20</v>
      </c>
      <c r="N128" s="4">
        <f t="shared" si="6"/>
        <v>7933908.81</v>
      </c>
      <c r="O128" s="4" t="s">
        <v>21</v>
      </c>
      <c r="P128" s="4">
        <f t="shared" si="7"/>
        <v>5148287.23</v>
      </c>
      <c r="Q128" s="4" t="s">
        <v>22</v>
      </c>
      <c r="R128" s="4" t="str">
        <f t="shared" si="8"/>
        <v>6306449.28(5148287.23,7933908.81)</v>
      </c>
      <c r="S128" s="4"/>
      <c r="T128" s="4"/>
      <c r="U128" s="4"/>
    </row>
    <row r="129" hidden="1" spans="1:21">
      <c r="A129" s="1" t="s">
        <v>267</v>
      </c>
      <c r="B129" s="1" t="s">
        <v>120</v>
      </c>
      <c r="C129" s="1" t="s">
        <v>13</v>
      </c>
      <c r="D129" s="1" t="s">
        <v>14</v>
      </c>
      <c r="E129" s="1" t="s">
        <v>15</v>
      </c>
      <c r="F129" s="1" t="s">
        <v>23</v>
      </c>
      <c r="G129" s="1">
        <v>2021</v>
      </c>
      <c r="H129" s="6" t="s">
        <v>415</v>
      </c>
      <c r="I129" s="6" t="s">
        <v>416</v>
      </c>
      <c r="J129" s="6" t="s">
        <v>417</v>
      </c>
      <c r="K129" s="1"/>
      <c r="L129" s="4">
        <f t="shared" si="9"/>
        <v>1012.27</v>
      </c>
      <c r="M129" s="4" t="s">
        <v>20</v>
      </c>
      <c r="N129" s="4">
        <f t="shared" si="6"/>
        <v>1273.5</v>
      </c>
      <c r="O129" s="4" t="s">
        <v>21</v>
      </c>
      <c r="P129" s="4">
        <f t="shared" si="7"/>
        <v>826.37</v>
      </c>
      <c r="Q129" s="4" t="s">
        <v>22</v>
      </c>
      <c r="R129" s="4" t="str">
        <f t="shared" si="8"/>
        <v>1012.27(826.37,1273.5)</v>
      </c>
      <c r="S129" s="4"/>
      <c r="T129" s="4"/>
      <c r="U129" s="4"/>
    </row>
    <row r="130" hidden="1" spans="1:21">
      <c r="A130" s="1" t="s">
        <v>267</v>
      </c>
      <c r="B130" s="1" t="s">
        <v>120</v>
      </c>
      <c r="C130" s="1" t="s">
        <v>13</v>
      </c>
      <c r="D130" s="1" t="s">
        <v>27</v>
      </c>
      <c r="E130" s="1" t="s">
        <v>15</v>
      </c>
      <c r="F130" s="1" t="s">
        <v>23</v>
      </c>
      <c r="G130" s="1">
        <v>2021</v>
      </c>
      <c r="H130" s="6" t="s">
        <v>418</v>
      </c>
      <c r="I130" s="6" t="s">
        <v>419</v>
      </c>
      <c r="J130" s="6" t="s">
        <v>420</v>
      </c>
      <c r="K130" s="1"/>
      <c r="L130" s="4">
        <f t="shared" si="9"/>
        <v>1306.72</v>
      </c>
      <c r="M130" s="4" t="s">
        <v>20</v>
      </c>
      <c r="N130" s="4">
        <f t="shared" si="6"/>
        <v>1628.68</v>
      </c>
      <c r="O130" s="4" t="s">
        <v>21</v>
      </c>
      <c r="P130" s="4">
        <f t="shared" si="7"/>
        <v>1081.87</v>
      </c>
      <c r="Q130" s="4" t="s">
        <v>22</v>
      </c>
      <c r="R130" s="4" t="str">
        <f t="shared" si="8"/>
        <v>1306.72(1081.87,1628.68)</v>
      </c>
      <c r="S130" s="4"/>
      <c r="T130" s="4"/>
      <c r="U130" s="4"/>
    </row>
    <row r="131" hidden="1" spans="1:21">
      <c r="A131" s="1" t="s">
        <v>267</v>
      </c>
      <c r="B131" s="1" t="s">
        <v>71</v>
      </c>
      <c r="C131" s="1" t="s">
        <v>13</v>
      </c>
      <c r="D131" s="1" t="s">
        <v>14</v>
      </c>
      <c r="E131" s="1" t="s">
        <v>15</v>
      </c>
      <c r="F131" s="1" t="s">
        <v>16</v>
      </c>
      <c r="G131" s="1">
        <v>2021</v>
      </c>
      <c r="H131" s="6" t="s">
        <v>421</v>
      </c>
      <c r="I131" s="6" t="s">
        <v>422</v>
      </c>
      <c r="J131" s="6" t="s">
        <v>423</v>
      </c>
      <c r="K131" s="1"/>
      <c r="L131" s="4">
        <f t="shared" si="9"/>
        <v>8795694.96</v>
      </c>
      <c r="M131" s="4" t="s">
        <v>20</v>
      </c>
      <c r="N131" s="4">
        <f t="shared" ref="N131:N194" si="10">ROUND(I131,2)</f>
        <v>10410829.37</v>
      </c>
      <c r="O131" s="4" t="s">
        <v>21</v>
      </c>
      <c r="P131" s="4">
        <f t="shared" ref="P131:P194" si="11">ROUND(J131,2)</f>
        <v>7579823.23</v>
      </c>
      <c r="Q131" s="4" t="s">
        <v>22</v>
      </c>
      <c r="R131" s="4" t="str">
        <f t="shared" ref="R131:R194" si="12">L131&amp;M131&amp;P131&amp;O131&amp;N131&amp;Q131</f>
        <v>8795694.96(7579823.23,10410829.37)</v>
      </c>
      <c r="S131" s="4"/>
      <c r="T131" s="4"/>
      <c r="U131" s="4"/>
    </row>
    <row r="132" hidden="1" spans="1:21">
      <c r="A132" s="1" t="s">
        <v>267</v>
      </c>
      <c r="B132" s="1" t="s">
        <v>71</v>
      </c>
      <c r="C132" s="1" t="s">
        <v>13</v>
      </c>
      <c r="D132" s="1" t="s">
        <v>14</v>
      </c>
      <c r="E132" s="1" t="s">
        <v>15</v>
      </c>
      <c r="F132" s="1" t="s">
        <v>23</v>
      </c>
      <c r="G132" s="1">
        <v>2021</v>
      </c>
      <c r="H132" s="6" t="s">
        <v>424</v>
      </c>
      <c r="I132" s="6" t="s">
        <v>425</v>
      </c>
      <c r="J132" s="6" t="s">
        <v>426</v>
      </c>
      <c r="K132" s="1"/>
      <c r="L132" s="4">
        <f t="shared" si="9"/>
        <v>1480.46</v>
      </c>
      <c r="M132" s="4" t="s">
        <v>20</v>
      </c>
      <c r="N132" s="4">
        <f t="shared" si="10"/>
        <v>1752.31</v>
      </c>
      <c r="O132" s="4" t="s">
        <v>21</v>
      </c>
      <c r="P132" s="4">
        <f t="shared" si="11"/>
        <v>1275.81</v>
      </c>
      <c r="Q132" s="4" t="s">
        <v>22</v>
      </c>
      <c r="R132" s="4" t="str">
        <f t="shared" si="12"/>
        <v>1480.46(1275.81,1752.31)</v>
      </c>
      <c r="S132" s="4"/>
      <c r="T132" s="4"/>
      <c r="U132" s="4"/>
    </row>
    <row r="133" hidden="1" spans="1:21">
      <c r="A133" s="1" t="s">
        <v>267</v>
      </c>
      <c r="B133" s="1" t="s">
        <v>71</v>
      </c>
      <c r="C133" s="1" t="s">
        <v>13</v>
      </c>
      <c r="D133" s="1" t="s">
        <v>27</v>
      </c>
      <c r="E133" s="1" t="s">
        <v>15</v>
      </c>
      <c r="F133" s="1" t="s">
        <v>23</v>
      </c>
      <c r="G133" s="1">
        <v>2021</v>
      </c>
      <c r="H133" s="6" t="s">
        <v>427</v>
      </c>
      <c r="I133" s="6" t="s">
        <v>428</v>
      </c>
      <c r="J133" s="6" t="s">
        <v>429</v>
      </c>
      <c r="K133" s="1"/>
      <c r="L133" s="4">
        <f t="shared" si="9"/>
        <v>1396.01</v>
      </c>
      <c r="M133" s="4" t="s">
        <v>20</v>
      </c>
      <c r="N133" s="4">
        <f t="shared" si="10"/>
        <v>1650.1</v>
      </c>
      <c r="O133" s="4" t="s">
        <v>21</v>
      </c>
      <c r="P133" s="4">
        <f t="shared" si="11"/>
        <v>1202.9</v>
      </c>
      <c r="Q133" s="4" t="s">
        <v>22</v>
      </c>
      <c r="R133" s="4" t="str">
        <f t="shared" si="12"/>
        <v>1396.01(1202.9,1650.1)</v>
      </c>
      <c r="S133" s="4"/>
      <c r="T133" s="4"/>
      <c r="U133" s="4"/>
    </row>
    <row r="134" hidden="1" spans="1:21">
      <c r="A134" s="1" t="s">
        <v>267</v>
      </c>
      <c r="B134" s="1" t="s">
        <v>51</v>
      </c>
      <c r="C134" s="1" t="s">
        <v>13</v>
      </c>
      <c r="D134" s="1" t="s">
        <v>14</v>
      </c>
      <c r="E134" s="1" t="s">
        <v>15</v>
      </c>
      <c r="F134" s="1" t="s">
        <v>16</v>
      </c>
      <c r="G134" s="1">
        <v>2021</v>
      </c>
      <c r="H134" s="6" t="s">
        <v>430</v>
      </c>
      <c r="I134" s="6" t="s">
        <v>431</v>
      </c>
      <c r="J134" s="6" t="s">
        <v>432</v>
      </c>
      <c r="K134" s="1"/>
      <c r="L134" s="4">
        <f t="shared" si="9"/>
        <v>12090038.38</v>
      </c>
      <c r="M134" s="4" t="s">
        <v>20</v>
      </c>
      <c r="N134" s="4">
        <f t="shared" si="10"/>
        <v>15402071.68</v>
      </c>
      <c r="O134" s="4" t="s">
        <v>21</v>
      </c>
      <c r="P134" s="4">
        <f t="shared" si="11"/>
        <v>9584296.8</v>
      </c>
      <c r="Q134" s="4" t="s">
        <v>22</v>
      </c>
      <c r="R134" s="4" t="str">
        <f t="shared" si="12"/>
        <v>12090038.38(9584296.8,15402071.68)</v>
      </c>
      <c r="S134" s="4"/>
      <c r="T134" s="4"/>
      <c r="U134" s="4"/>
    </row>
    <row r="135" hidden="1" spans="1:21">
      <c r="A135" s="1" t="s">
        <v>267</v>
      </c>
      <c r="B135" s="1" t="s">
        <v>51</v>
      </c>
      <c r="C135" s="1" t="s">
        <v>13</v>
      </c>
      <c r="D135" s="1" t="s">
        <v>14</v>
      </c>
      <c r="E135" s="1" t="s">
        <v>15</v>
      </c>
      <c r="F135" s="1" t="s">
        <v>23</v>
      </c>
      <c r="G135" s="1">
        <v>2021</v>
      </c>
      <c r="H135" s="6" t="s">
        <v>433</v>
      </c>
      <c r="I135" s="6" t="s">
        <v>434</v>
      </c>
      <c r="J135" s="6" t="s">
        <v>435</v>
      </c>
      <c r="K135" s="1"/>
      <c r="L135" s="4">
        <f t="shared" si="9"/>
        <v>1107.49</v>
      </c>
      <c r="M135" s="4" t="s">
        <v>20</v>
      </c>
      <c r="N135" s="4">
        <f t="shared" si="10"/>
        <v>1410.88</v>
      </c>
      <c r="O135" s="4" t="s">
        <v>21</v>
      </c>
      <c r="P135" s="4">
        <f t="shared" si="11"/>
        <v>877.95</v>
      </c>
      <c r="Q135" s="4" t="s">
        <v>22</v>
      </c>
      <c r="R135" s="4" t="str">
        <f t="shared" si="12"/>
        <v>1107.49(877.95,1410.88)</v>
      </c>
      <c r="S135" s="4"/>
      <c r="T135" s="4"/>
      <c r="U135" s="4"/>
    </row>
    <row r="136" hidden="1" spans="1:21">
      <c r="A136" s="1" t="s">
        <v>267</v>
      </c>
      <c r="B136" s="1" t="s">
        <v>51</v>
      </c>
      <c r="C136" s="1" t="s">
        <v>13</v>
      </c>
      <c r="D136" s="1" t="s">
        <v>27</v>
      </c>
      <c r="E136" s="1" t="s">
        <v>15</v>
      </c>
      <c r="F136" s="1" t="s">
        <v>23</v>
      </c>
      <c r="G136" s="1">
        <v>2021</v>
      </c>
      <c r="H136" s="6" t="s">
        <v>436</v>
      </c>
      <c r="I136" s="6" t="s">
        <v>437</v>
      </c>
      <c r="J136" s="6" t="s">
        <v>438</v>
      </c>
      <c r="K136" s="1"/>
      <c r="L136" s="4">
        <f t="shared" si="9"/>
        <v>625.6</v>
      </c>
      <c r="M136" s="4" t="s">
        <v>20</v>
      </c>
      <c r="N136" s="4">
        <f t="shared" si="10"/>
        <v>802.75</v>
      </c>
      <c r="O136" s="4" t="s">
        <v>21</v>
      </c>
      <c r="P136" s="4">
        <f t="shared" si="11"/>
        <v>489.14</v>
      </c>
      <c r="Q136" s="4" t="s">
        <v>22</v>
      </c>
      <c r="R136" s="4" t="str">
        <f t="shared" si="12"/>
        <v>625.6(489.14,802.75)</v>
      </c>
      <c r="S136" s="4"/>
      <c r="T136" s="4"/>
      <c r="U136" s="4"/>
    </row>
    <row r="137" hidden="1" spans="1:21">
      <c r="A137" s="1" t="s">
        <v>267</v>
      </c>
      <c r="B137" s="1" t="s">
        <v>100</v>
      </c>
      <c r="C137" s="1" t="s">
        <v>13</v>
      </c>
      <c r="D137" s="1" t="s">
        <v>14</v>
      </c>
      <c r="E137" s="1" t="s">
        <v>15</v>
      </c>
      <c r="F137" s="1" t="s">
        <v>16</v>
      </c>
      <c r="G137" s="1">
        <v>2021</v>
      </c>
      <c r="H137" s="6" t="s">
        <v>439</v>
      </c>
      <c r="I137" s="6" t="s">
        <v>440</v>
      </c>
      <c r="J137" s="6" t="s">
        <v>441</v>
      </c>
      <c r="K137" s="1"/>
      <c r="L137" s="4">
        <f t="shared" si="9"/>
        <v>12231452.24</v>
      </c>
      <c r="M137" s="4" t="s">
        <v>20</v>
      </c>
      <c r="N137" s="4">
        <f t="shared" si="10"/>
        <v>14957461.21</v>
      </c>
      <c r="O137" s="4" t="s">
        <v>21</v>
      </c>
      <c r="P137" s="4">
        <f t="shared" si="11"/>
        <v>9946570.84</v>
      </c>
      <c r="Q137" s="4" t="s">
        <v>22</v>
      </c>
      <c r="R137" s="4" t="str">
        <f t="shared" si="12"/>
        <v>12231452.24(9946570.84,14957461.21)</v>
      </c>
      <c r="S137" s="4"/>
      <c r="T137" s="4"/>
      <c r="U137" s="4"/>
    </row>
    <row r="138" hidden="1" spans="1:21">
      <c r="A138" s="1" t="s">
        <v>267</v>
      </c>
      <c r="B138" s="1" t="s">
        <v>100</v>
      </c>
      <c r="C138" s="1" t="s">
        <v>13</v>
      </c>
      <c r="D138" s="1" t="s">
        <v>14</v>
      </c>
      <c r="E138" s="1" t="s">
        <v>15</v>
      </c>
      <c r="F138" s="1" t="s">
        <v>23</v>
      </c>
      <c r="G138" s="1">
        <v>2021</v>
      </c>
      <c r="H138" s="6" t="s">
        <v>442</v>
      </c>
      <c r="I138" s="6" t="s">
        <v>443</v>
      </c>
      <c r="J138" s="6" t="s">
        <v>444</v>
      </c>
      <c r="K138" s="1"/>
      <c r="L138" s="4">
        <f t="shared" si="9"/>
        <v>937.97</v>
      </c>
      <c r="M138" s="4" t="s">
        <v>20</v>
      </c>
      <c r="N138" s="4">
        <f t="shared" si="10"/>
        <v>1147.02</v>
      </c>
      <c r="O138" s="4" t="s">
        <v>21</v>
      </c>
      <c r="P138" s="4">
        <f t="shared" si="11"/>
        <v>762.76</v>
      </c>
      <c r="Q138" s="4" t="s">
        <v>22</v>
      </c>
      <c r="R138" s="4" t="str">
        <f t="shared" si="12"/>
        <v>937.97(762.76,1147.02)</v>
      </c>
      <c r="S138" s="4"/>
      <c r="T138" s="4"/>
      <c r="U138" s="4"/>
    </row>
    <row r="139" hidden="1" spans="1:21">
      <c r="A139" s="1" t="s">
        <v>267</v>
      </c>
      <c r="B139" s="1" t="s">
        <v>100</v>
      </c>
      <c r="C139" s="1" t="s">
        <v>13</v>
      </c>
      <c r="D139" s="1" t="s">
        <v>27</v>
      </c>
      <c r="E139" s="1" t="s">
        <v>15</v>
      </c>
      <c r="F139" s="1" t="s">
        <v>23</v>
      </c>
      <c r="G139" s="1">
        <v>2021</v>
      </c>
      <c r="H139" s="6" t="s">
        <v>445</v>
      </c>
      <c r="I139" s="6" t="s">
        <v>446</v>
      </c>
      <c r="J139" s="6" t="s">
        <v>447</v>
      </c>
      <c r="K139" s="1"/>
      <c r="L139" s="4">
        <f t="shared" si="9"/>
        <v>641.67</v>
      </c>
      <c r="M139" s="4" t="s">
        <v>20</v>
      </c>
      <c r="N139" s="4">
        <f t="shared" si="10"/>
        <v>788.33</v>
      </c>
      <c r="O139" s="4" t="s">
        <v>21</v>
      </c>
      <c r="P139" s="4">
        <f t="shared" si="11"/>
        <v>516.91</v>
      </c>
      <c r="Q139" s="4" t="s">
        <v>22</v>
      </c>
      <c r="R139" s="4" t="str">
        <f t="shared" si="12"/>
        <v>641.67(516.91,788.33)</v>
      </c>
      <c r="S139" s="4"/>
      <c r="T139" s="4"/>
      <c r="U139" s="4"/>
    </row>
    <row r="140" hidden="1" spans="1:21">
      <c r="A140" s="1" t="s">
        <v>267</v>
      </c>
      <c r="B140" s="1" t="s">
        <v>81</v>
      </c>
      <c r="C140" s="1" t="s">
        <v>13</v>
      </c>
      <c r="D140" s="1" t="s">
        <v>14</v>
      </c>
      <c r="E140" s="1" t="s">
        <v>15</v>
      </c>
      <c r="F140" s="1" t="s">
        <v>16</v>
      </c>
      <c r="G140" s="1">
        <v>2021</v>
      </c>
      <c r="H140" s="6" t="s">
        <v>448</v>
      </c>
      <c r="I140" s="6" t="s">
        <v>449</v>
      </c>
      <c r="J140" s="6" t="s">
        <v>450</v>
      </c>
      <c r="K140" s="1"/>
      <c r="L140" s="4">
        <f t="shared" si="9"/>
        <v>12421027.22</v>
      </c>
      <c r="M140" s="4" t="s">
        <v>20</v>
      </c>
      <c r="N140" s="4">
        <f t="shared" si="10"/>
        <v>15785615.38</v>
      </c>
      <c r="O140" s="4" t="s">
        <v>21</v>
      </c>
      <c r="P140" s="4">
        <f t="shared" si="11"/>
        <v>9861777.85</v>
      </c>
      <c r="Q140" s="4" t="s">
        <v>22</v>
      </c>
      <c r="R140" s="4" t="str">
        <f t="shared" si="12"/>
        <v>12421027.22(9861777.85,15785615.38)</v>
      </c>
      <c r="S140" s="4"/>
      <c r="T140" s="4"/>
      <c r="U140" s="4"/>
    </row>
    <row r="141" hidden="1" spans="1:21">
      <c r="A141" s="1" t="s">
        <v>267</v>
      </c>
      <c r="B141" s="1" t="s">
        <v>81</v>
      </c>
      <c r="C141" s="1" t="s">
        <v>13</v>
      </c>
      <c r="D141" s="1" t="s">
        <v>14</v>
      </c>
      <c r="E141" s="1" t="s">
        <v>15</v>
      </c>
      <c r="F141" s="1" t="s">
        <v>23</v>
      </c>
      <c r="G141" s="1">
        <v>2021</v>
      </c>
      <c r="H141" s="6" t="s">
        <v>451</v>
      </c>
      <c r="I141" s="6" t="s">
        <v>452</v>
      </c>
      <c r="J141" s="6" t="s">
        <v>453</v>
      </c>
      <c r="K141" s="1"/>
      <c r="L141" s="4">
        <f t="shared" si="9"/>
        <v>1135.33</v>
      </c>
      <c r="M141" s="4" t="s">
        <v>20</v>
      </c>
      <c r="N141" s="4">
        <f t="shared" si="10"/>
        <v>1442.86</v>
      </c>
      <c r="O141" s="4" t="s">
        <v>21</v>
      </c>
      <c r="P141" s="4">
        <f t="shared" si="11"/>
        <v>901.4</v>
      </c>
      <c r="Q141" s="4" t="s">
        <v>22</v>
      </c>
      <c r="R141" s="4" t="str">
        <f t="shared" si="12"/>
        <v>1135.33(901.4,1442.86)</v>
      </c>
      <c r="S141" s="4"/>
      <c r="T141" s="4"/>
      <c r="U141" s="4"/>
    </row>
    <row r="142" hidden="1" spans="1:21">
      <c r="A142" s="1" t="s">
        <v>267</v>
      </c>
      <c r="B142" s="1" t="s">
        <v>81</v>
      </c>
      <c r="C142" s="1" t="s">
        <v>13</v>
      </c>
      <c r="D142" s="1" t="s">
        <v>27</v>
      </c>
      <c r="E142" s="1" t="s">
        <v>15</v>
      </c>
      <c r="F142" s="1" t="s">
        <v>23</v>
      </c>
      <c r="G142" s="1">
        <v>2021</v>
      </c>
      <c r="H142" s="6" t="s">
        <v>454</v>
      </c>
      <c r="I142" s="6" t="s">
        <v>455</v>
      </c>
      <c r="J142" s="6" t="s">
        <v>456</v>
      </c>
      <c r="K142" s="1"/>
      <c r="L142" s="4">
        <f t="shared" si="9"/>
        <v>667.54</v>
      </c>
      <c r="M142" s="4" t="s">
        <v>20</v>
      </c>
      <c r="N142" s="4">
        <f t="shared" si="10"/>
        <v>853.83</v>
      </c>
      <c r="O142" s="4" t="s">
        <v>21</v>
      </c>
      <c r="P142" s="4">
        <f t="shared" si="11"/>
        <v>523.84</v>
      </c>
      <c r="Q142" s="4" t="s">
        <v>22</v>
      </c>
      <c r="R142" s="4" t="str">
        <f t="shared" si="12"/>
        <v>667.54(523.84,853.83)</v>
      </c>
      <c r="S142" s="4"/>
      <c r="T142" s="4"/>
      <c r="U142" s="4"/>
    </row>
    <row r="143" spans="1:21">
      <c r="A143" s="1" t="s">
        <v>267</v>
      </c>
      <c r="B143" s="1" t="s">
        <v>91</v>
      </c>
      <c r="C143" s="1" t="s">
        <v>13</v>
      </c>
      <c r="D143" s="1" t="s">
        <v>14</v>
      </c>
      <c r="E143" s="1" t="s">
        <v>15</v>
      </c>
      <c r="F143" s="1" t="s">
        <v>16</v>
      </c>
      <c r="G143" s="1">
        <v>2021</v>
      </c>
      <c r="H143" s="6" t="s">
        <v>457</v>
      </c>
      <c r="I143" s="6" t="s">
        <v>458</v>
      </c>
      <c r="J143" s="6" t="s">
        <v>459</v>
      </c>
      <c r="K143" s="1"/>
      <c r="L143" s="4">
        <f t="shared" si="9"/>
        <v>75340873.71</v>
      </c>
      <c r="M143" s="4" t="s">
        <v>20</v>
      </c>
      <c r="N143" s="4">
        <f t="shared" si="10"/>
        <v>90254281.75</v>
      </c>
      <c r="O143" s="4" t="s">
        <v>21</v>
      </c>
      <c r="P143" s="4">
        <f t="shared" si="11"/>
        <v>63483094.23</v>
      </c>
      <c r="Q143" s="4" t="s">
        <v>22</v>
      </c>
      <c r="R143" s="4" t="str">
        <f t="shared" si="12"/>
        <v>75340873.71(63483094.23,90254281.75)</v>
      </c>
      <c r="S143" s="4"/>
      <c r="T143" s="4"/>
      <c r="U143" s="4"/>
    </row>
    <row r="144" spans="1:21">
      <c r="A144" s="1" t="s">
        <v>267</v>
      </c>
      <c r="B144" s="1" t="s">
        <v>91</v>
      </c>
      <c r="C144" s="1" t="s">
        <v>13</v>
      </c>
      <c r="D144" s="1" t="s">
        <v>14</v>
      </c>
      <c r="E144" s="1" t="s">
        <v>15</v>
      </c>
      <c r="F144" s="1" t="s">
        <v>23</v>
      </c>
      <c r="G144" s="1">
        <v>2021</v>
      </c>
      <c r="H144" s="6" t="s">
        <v>460</v>
      </c>
      <c r="I144" s="6" t="s">
        <v>461</v>
      </c>
      <c r="J144" s="6" t="s">
        <v>462</v>
      </c>
      <c r="K144" s="1"/>
      <c r="L144" s="4">
        <f t="shared" si="9"/>
        <v>954.73</v>
      </c>
      <c r="M144" s="4" t="s">
        <v>20</v>
      </c>
      <c r="N144" s="4">
        <f t="shared" si="10"/>
        <v>1143.71</v>
      </c>
      <c r="O144" s="4" t="s">
        <v>21</v>
      </c>
      <c r="P144" s="4">
        <f t="shared" si="11"/>
        <v>804.46</v>
      </c>
      <c r="Q144" s="4" t="s">
        <v>22</v>
      </c>
      <c r="R144" s="4" t="str">
        <f t="shared" si="12"/>
        <v>954.73(804.46,1143.71)</v>
      </c>
      <c r="S144" s="4"/>
      <c r="T144" s="4"/>
      <c r="U144" s="4"/>
    </row>
    <row r="145" spans="1:21">
      <c r="A145" s="1" t="s">
        <v>267</v>
      </c>
      <c r="B145" s="1" t="s">
        <v>91</v>
      </c>
      <c r="C145" s="1" t="s">
        <v>13</v>
      </c>
      <c r="D145" s="1" t="s">
        <v>27</v>
      </c>
      <c r="E145" s="1" t="s">
        <v>15</v>
      </c>
      <c r="F145" s="1" t="s">
        <v>23</v>
      </c>
      <c r="G145" s="1">
        <v>2021</v>
      </c>
      <c r="H145" s="6" t="s">
        <v>463</v>
      </c>
      <c r="I145" s="6" t="s">
        <v>464</v>
      </c>
      <c r="J145" s="6" t="s">
        <v>465</v>
      </c>
      <c r="K145" s="1"/>
      <c r="L145" s="4">
        <f t="shared" si="9"/>
        <v>871.78</v>
      </c>
      <c r="M145" s="4" t="s">
        <v>20</v>
      </c>
      <c r="N145" s="4">
        <f t="shared" si="10"/>
        <v>1044.78</v>
      </c>
      <c r="O145" s="4" t="s">
        <v>21</v>
      </c>
      <c r="P145" s="4">
        <f t="shared" si="11"/>
        <v>735.05</v>
      </c>
      <c r="Q145" s="4" t="s">
        <v>22</v>
      </c>
      <c r="R145" s="4" t="str">
        <f t="shared" si="12"/>
        <v>871.78(735.05,1044.78)</v>
      </c>
      <c r="S145" s="4"/>
      <c r="T145" s="4"/>
      <c r="U145" s="4"/>
    </row>
    <row r="146" hidden="1" spans="1:21">
      <c r="A146" s="1" t="s">
        <v>267</v>
      </c>
      <c r="B146" s="1" t="s">
        <v>130</v>
      </c>
      <c r="C146" s="1" t="s">
        <v>13</v>
      </c>
      <c r="D146" s="1" t="s">
        <v>14</v>
      </c>
      <c r="E146" s="1" t="s">
        <v>15</v>
      </c>
      <c r="F146" s="1" t="s">
        <v>16</v>
      </c>
      <c r="G146" s="1">
        <v>2021</v>
      </c>
      <c r="H146" s="6" t="s">
        <v>466</v>
      </c>
      <c r="I146" s="6" t="s">
        <v>467</v>
      </c>
      <c r="J146" s="6" t="s">
        <v>468</v>
      </c>
      <c r="K146" s="1"/>
      <c r="L146" s="4">
        <f t="shared" si="9"/>
        <v>18042396.59</v>
      </c>
      <c r="M146" s="4" t="s">
        <v>20</v>
      </c>
      <c r="N146" s="4">
        <f t="shared" si="10"/>
        <v>21210334.86</v>
      </c>
      <c r="O146" s="4" t="s">
        <v>21</v>
      </c>
      <c r="P146" s="4">
        <f t="shared" si="11"/>
        <v>15414619.65</v>
      </c>
      <c r="Q146" s="4" t="s">
        <v>22</v>
      </c>
      <c r="R146" s="4" t="str">
        <f t="shared" si="12"/>
        <v>18042396.59(15414619.65,21210334.86)</v>
      </c>
      <c r="S146" s="4"/>
      <c r="T146" s="4"/>
      <c r="U146" s="4"/>
    </row>
    <row r="147" hidden="1" spans="1:21">
      <c r="A147" s="1" t="s">
        <v>267</v>
      </c>
      <c r="B147" s="1" t="s">
        <v>130</v>
      </c>
      <c r="C147" s="1" t="s">
        <v>13</v>
      </c>
      <c r="D147" s="1" t="s">
        <v>14</v>
      </c>
      <c r="E147" s="1" t="s">
        <v>15</v>
      </c>
      <c r="F147" s="1" t="s">
        <v>23</v>
      </c>
      <c r="G147" s="1">
        <v>2021</v>
      </c>
      <c r="H147" s="6" t="s">
        <v>469</v>
      </c>
      <c r="I147" s="6" t="s">
        <v>470</v>
      </c>
      <c r="J147" s="6" t="s">
        <v>471</v>
      </c>
      <c r="K147" s="1"/>
      <c r="L147" s="4">
        <f t="shared" si="9"/>
        <v>939.16</v>
      </c>
      <c r="M147" s="4" t="s">
        <v>20</v>
      </c>
      <c r="N147" s="4">
        <f t="shared" si="10"/>
        <v>1104.07</v>
      </c>
      <c r="O147" s="4" t="s">
        <v>21</v>
      </c>
      <c r="P147" s="4">
        <f t="shared" si="11"/>
        <v>802.38</v>
      </c>
      <c r="Q147" s="4" t="s">
        <v>22</v>
      </c>
      <c r="R147" s="4" t="str">
        <f t="shared" si="12"/>
        <v>939.16(802.38,1104.07)</v>
      </c>
      <c r="S147" s="4"/>
      <c r="T147" s="4"/>
      <c r="U147" s="4"/>
    </row>
    <row r="148" hidden="1" spans="1:21">
      <c r="A148" s="1" t="s">
        <v>267</v>
      </c>
      <c r="B148" s="1" t="s">
        <v>130</v>
      </c>
      <c r="C148" s="1" t="s">
        <v>13</v>
      </c>
      <c r="D148" s="1" t="s">
        <v>27</v>
      </c>
      <c r="E148" s="1" t="s">
        <v>15</v>
      </c>
      <c r="F148" s="1" t="s">
        <v>23</v>
      </c>
      <c r="G148" s="1">
        <v>2021</v>
      </c>
      <c r="H148" s="6" t="s">
        <v>472</v>
      </c>
      <c r="I148" s="6" t="s">
        <v>473</v>
      </c>
      <c r="J148" s="6" t="s">
        <v>474</v>
      </c>
      <c r="K148" s="1"/>
      <c r="L148" s="4">
        <f t="shared" si="9"/>
        <v>1209.62</v>
      </c>
      <c r="M148" s="4" t="s">
        <v>20</v>
      </c>
      <c r="N148" s="4">
        <f t="shared" si="10"/>
        <v>1411.33</v>
      </c>
      <c r="O148" s="4" t="s">
        <v>21</v>
      </c>
      <c r="P148" s="4">
        <f t="shared" si="11"/>
        <v>1045.25</v>
      </c>
      <c r="Q148" s="4" t="s">
        <v>22</v>
      </c>
      <c r="R148" s="4" t="str">
        <f t="shared" si="12"/>
        <v>1209.62(1045.25,1411.33)</v>
      </c>
      <c r="S148" s="4"/>
      <c r="T148" s="4"/>
      <c r="U148" s="4"/>
    </row>
    <row r="149" hidden="1" spans="1:21">
      <c r="A149" s="1" t="s">
        <v>267</v>
      </c>
      <c r="B149" s="1" t="s">
        <v>41</v>
      </c>
      <c r="C149" s="1" t="s">
        <v>13</v>
      </c>
      <c r="D149" s="1" t="s">
        <v>14</v>
      </c>
      <c r="E149" s="1" t="s">
        <v>15</v>
      </c>
      <c r="F149" s="1" t="s">
        <v>16</v>
      </c>
      <c r="G149" s="1">
        <v>2021</v>
      </c>
      <c r="H149" s="6" t="s">
        <v>475</v>
      </c>
      <c r="I149" s="6" t="s">
        <v>476</v>
      </c>
      <c r="J149" s="6" t="s">
        <v>477</v>
      </c>
      <c r="K149" s="1"/>
      <c r="L149" s="4">
        <f t="shared" si="9"/>
        <v>16851967.79</v>
      </c>
      <c r="M149" s="4" t="s">
        <v>20</v>
      </c>
      <c r="N149" s="4">
        <f t="shared" si="10"/>
        <v>19903034.21</v>
      </c>
      <c r="O149" s="4" t="s">
        <v>21</v>
      </c>
      <c r="P149" s="4">
        <f t="shared" si="11"/>
        <v>14173188.13</v>
      </c>
      <c r="Q149" s="4" t="s">
        <v>22</v>
      </c>
      <c r="R149" s="4" t="str">
        <f t="shared" si="12"/>
        <v>16851967.79(14173188.13,19903034.21)</v>
      </c>
      <c r="S149" s="4"/>
      <c r="T149" s="4"/>
      <c r="U149" s="4"/>
    </row>
    <row r="150" hidden="1" spans="1:21">
      <c r="A150" s="1" t="s">
        <v>267</v>
      </c>
      <c r="B150" s="1" t="s">
        <v>41</v>
      </c>
      <c r="C150" s="1" t="s">
        <v>13</v>
      </c>
      <c r="D150" s="1" t="s">
        <v>14</v>
      </c>
      <c r="E150" s="1" t="s">
        <v>15</v>
      </c>
      <c r="F150" s="1" t="s">
        <v>23</v>
      </c>
      <c r="G150" s="1">
        <v>2021</v>
      </c>
      <c r="H150" s="6" t="s">
        <v>478</v>
      </c>
      <c r="I150" s="6" t="s">
        <v>479</v>
      </c>
      <c r="J150" s="6" t="s">
        <v>480</v>
      </c>
      <c r="K150" s="1"/>
      <c r="L150" s="4">
        <f t="shared" si="9"/>
        <v>912.61</v>
      </c>
      <c r="M150" s="4" t="s">
        <v>20</v>
      </c>
      <c r="N150" s="4">
        <f t="shared" si="10"/>
        <v>1077.84</v>
      </c>
      <c r="O150" s="4" t="s">
        <v>21</v>
      </c>
      <c r="P150" s="4">
        <f t="shared" si="11"/>
        <v>767.54</v>
      </c>
      <c r="Q150" s="4" t="s">
        <v>22</v>
      </c>
      <c r="R150" s="4" t="str">
        <f t="shared" si="12"/>
        <v>912.61(767.54,1077.84)</v>
      </c>
      <c r="S150" s="4"/>
      <c r="T150" s="4"/>
      <c r="U150" s="4"/>
    </row>
    <row r="151" hidden="1" spans="1:21">
      <c r="A151" s="1" t="s">
        <v>267</v>
      </c>
      <c r="B151" s="1" t="s">
        <v>41</v>
      </c>
      <c r="C151" s="1" t="s">
        <v>13</v>
      </c>
      <c r="D151" s="1" t="s">
        <v>27</v>
      </c>
      <c r="E151" s="1" t="s">
        <v>15</v>
      </c>
      <c r="F151" s="1" t="s">
        <v>23</v>
      </c>
      <c r="G151" s="1">
        <v>2021</v>
      </c>
      <c r="H151" s="6" t="s">
        <v>481</v>
      </c>
      <c r="I151" s="6" t="s">
        <v>482</v>
      </c>
      <c r="J151" s="6" t="s">
        <v>483</v>
      </c>
      <c r="K151" s="1"/>
      <c r="L151" s="4">
        <f t="shared" si="9"/>
        <v>1103.98</v>
      </c>
      <c r="M151" s="4" t="s">
        <v>20</v>
      </c>
      <c r="N151" s="4">
        <f t="shared" si="10"/>
        <v>1291.72</v>
      </c>
      <c r="O151" s="4" t="s">
        <v>21</v>
      </c>
      <c r="P151" s="4">
        <f t="shared" si="11"/>
        <v>940.98</v>
      </c>
      <c r="Q151" s="4" t="s">
        <v>22</v>
      </c>
      <c r="R151" s="4" t="str">
        <f t="shared" si="12"/>
        <v>1103.98(940.98,1291.72)</v>
      </c>
      <c r="S151" s="4"/>
      <c r="T151" s="4"/>
      <c r="U151" s="4"/>
    </row>
    <row r="152" hidden="1" spans="1:21">
      <c r="A152" s="1" t="s">
        <v>267</v>
      </c>
      <c r="B152" s="1" t="s">
        <v>140</v>
      </c>
      <c r="C152" s="1" t="s">
        <v>13</v>
      </c>
      <c r="D152" s="1" t="s">
        <v>14</v>
      </c>
      <c r="E152" s="1" t="s">
        <v>15</v>
      </c>
      <c r="F152" s="1" t="s">
        <v>16</v>
      </c>
      <c r="G152" s="1">
        <v>2021</v>
      </c>
      <c r="H152" s="6" t="s">
        <v>484</v>
      </c>
      <c r="I152" s="6" t="s">
        <v>485</v>
      </c>
      <c r="J152" s="6" t="s">
        <v>486</v>
      </c>
      <c r="K152" s="1"/>
      <c r="L152" s="4">
        <f t="shared" si="9"/>
        <v>20320061.86</v>
      </c>
      <c r="M152" s="4" t="s">
        <v>20</v>
      </c>
      <c r="N152" s="4">
        <f t="shared" si="10"/>
        <v>24922307.29</v>
      </c>
      <c r="O152" s="4" t="s">
        <v>21</v>
      </c>
      <c r="P152" s="4">
        <f t="shared" si="11"/>
        <v>16734359.31</v>
      </c>
      <c r="Q152" s="4" t="s">
        <v>22</v>
      </c>
      <c r="R152" s="4" t="str">
        <f t="shared" si="12"/>
        <v>20320061.86(16734359.31,24922307.29)</v>
      </c>
      <c r="S152" s="4"/>
      <c r="T152" s="4"/>
      <c r="U152" s="4"/>
    </row>
    <row r="153" hidden="1" spans="1:21">
      <c r="A153" s="1" t="s">
        <v>267</v>
      </c>
      <c r="B153" s="1" t="s">
        <v>140</v>
      </c>
      <c r="C153" s="1" t="s">
        <v>13</v>
      </c>
      <c r="D153" s="1" t="s">
        <v>14</v>
      </c>
      <c r="E153" s="1" t="s">
        <v>15</v>
      </c>
      <c r="F153" s="1" t="s">
        <v>23</v>
      </c>
      <c r="G153" s="1">
        <v>2021</v>
      </c>
      <c r="H153" s="6" t="s">
        <v>487</v>
      </c>
      <c r="I153" s="6" t="s">
        <v>488</v>
      </c>
      <c r="J153" s="6" t="s">
        <v>489</v>
      </c>
      <c r="K153" s="1"/>
      <c r="L153" s="4">
        <f t="shared" si="9"/>
        <v>929.98</v>
      </c>
      <c r="M153" s="4" t="s">
        <v>20</v>
      </c>
      <c r="N153" s="4">
        <f t="shared" si="10"/>
        <v>1140.61</v>
      </c>
      <c r="O153" s="4" t="s">
        <v>21</v>
      </c>
      <c r="P153" s="4">
        <f t="shared" si="11"/>
        <v>765.87</v>
      </c>
      <c r="Q153" s="4" t="s">
        <v>22</v>
      </c>
      <c r="R153" s="4" t="str">
        <f t="shared" si="12"/>
        <v>929.98(765.87,1140.61)</v>
      </c>
      <c r="S153" s="4"/>
      <c r="T153" s="4"/>
      <c r="U153" s="4"/>
    </row>
    <row r="154" hidden="1" spans="1:21">
      <c r="A154" s="1" t="s">
        <v>267</v>
      </c>
      <c r="B154" s="1" t="s">
        <v>140</v>
      </c>
      <c r="C154" s="1" t="s">
        <v>13</v>
      </c>
      <c r="D154" s="1" t="s">
        <v>27</v>
      </c>
      <c r="E154" s="1" t="s">
        <v>15</v>
      </c>
      <c r="F154" s="1" t="s">
        <v>23</v>
      </c>
      <c r="G154" s="1">
        <v>2021</v>
      </c>
      <c r="H154" s="6" t="s">
        <v>490</v>
      </c>
      <c r="I154" s="6" t="s">
        <v>491</v>
      </c>
      <c r="J154" s="6" t="s">
        <v>492</v>
      </c>
      <c r="K154" s="1"/>
      <c r="L154" s="4">
        <f t="shared" si="9"/>
        <v>717.39</v>
      </c>
      <c r="M154" s="4" t="s">
        <v>20</v>
      </c>
      <c r="N154" s="4">
        <f t="shared" si="10"/>
        <v>880</v>
      </c>
      <c r="O154" s="4" t="s">
        <v>21</v>
      </c>
      <c r="P154" s="4">
        <f t="shared" si="11"/>
        <v>590.5</v>
      </c>
      <c r="Q154" s="4" t="s">
        <v>22</v>
      </c>
      <c r="R154" s="4" t="str">
        <f t="shared" si="12"/>
        <v>717.39(590.5,880)</v>
      </c>
      <c r="S154" s="4"/>
      <c r="T154" s="4"/>
      <c r="U154" s="4"/>
    </row>
    <row r="155" hidden="1" spans="1:21">
      <c r="A155" s="1" t="s">
        <v>267</v>
      </c>
      <c r="B155" s="1" t="s">
        <v>12</v>
      </c>
      <c r="C155" s="1" t="s">
        <v>13</v>
      </c>
      <c r="D155" s="1" t="s">
        <v>14</v>
      </c>
      <c r="E155" s="1" t="s">
        <v>15</v>
      </c>
      <c r="F155" s="1" t="s">
        <v>16</v>
      </c>
      <c r="G155" s="1">
        <v>2021</v>
      </c>
      <c r="H155" s="6" t="s">
        <v>493</v>
      </c>
      <c r="I155" s="6" t="s">
        <v>494</v>
      </c>
      <c r="J155" s="6" t="s">
        <v>495</v>
      </c>
      <c r="K155" s="1"/>
      <c r="L155" s="4">
        <f t="shared" si="9"/>
        <v>26084565.56</v>
      </c>
      <c r="M155" s="4" t="s">
        <v>20</v>
      </c>
      <c r="N155" s="4">
        <f t="shared" si="10"/>
        <v>30907857.56</v>
      </c>
      <c r="O155" s="4" t="s">
        <v>21</v>
      </c>
      <c r="P155" s="4">
        <f t="shared" si="11"/>
        <v>22169178.43</v>
      </c>
      <c r="Q155" s="4" t="s">
        <v>22</v>
      </c>
      <c r="R155" s="4" t="str">
        <f t="shared" si="12"/>
        <v>26084565.56(22169178.43,30907857.56)</v>
      </c>
      <c r="S155" s="4"/>
      <c r="T155" s="4"/>
      <c r="U155" s="4"/>
    </row>
    <row r="156" hidden="1" spans="1:21">
      <c r="A156" s="1" t="s">
        <v>267</v>
      </c>
      <c r="B156" s="1" t="s">
        <v>12</v>
      </c>
      <c r="C156" s="1" t="s">
        <v>13</v>
      </c>
      <c r="D156" s="1" t="s">
        <v>14</v>
      </c>
      <c r="E156" s="1" t="s">
        <v>15</v>
      </c>
      <c r="F156" s="1" t="s">
        <v>23</v>
      </c>
      <c r="G156" s="1">
        <v>2021</v>
      </c>
      <c r="H156" s="6" t="s">
        <v>496</v>
      </c>
      <c r="I156" s="6" t="s">
        <v>497</v>
      </c>
      <c r="J156" s="6" t="s">
        <v>498</v>
      </c>
      <c r="K156" s="1"/>
      <c r="L156" s="4">
        <f t="shared" si="9"/>
        <v>1065.31</v>
      </c>
      <c r="M156" s="4" t="s">
        <v>20</v>
      </c>
      <c r="N156" s="4">
        <f t="shared" si="10"/>
        <v>1262.3</v>
      </c>
      <c r="O156" s="4" t="s">
        <v>21</v>
      </c>
      <c r="P156" s="4">
        <f t="shared" si="11"/>
        <v>905.4</v>
      </c>
      <c r="Q156" s="4" t="s">
        <v>22</v>
      </c>
      <c r="R156" s="4" t="str">
        <f t="shared" si="12"/>
        <v>1065.31(905.4,1262.3)</v>
      </c>
      <c r="S156" s="4"/>
      <c r="T156" s="4"/>
      <c r="U156" s="4"/>
    </row>
    <row r="157" hidden="1" spans="1:21">
      <c r="A157" s="1" t="s">
        <v>267</v>
      </c>
      <c r="B157" s="1" t="s">
        <v>12</v>
      </c>
      <c r="C157" s="1" t="s">
        <v>13</v>
      </c>
      <c r="D157" s="1" t="s">
        <v>27</v>
      </c>
      <c r="E157" s="1" t="s">
        <v>15</v>
      </c>
      <c r="F157" s="1" t="s">
        <v>23</v>
      </c>
      <c r="G157" s="1">
        <v>2021</v>
      </c>
      <c r="H157" s="6" t="s">
        <v>499</v>
      </c>
      <c r="I157" s="6" t="s">
        <v>500</v>
      </c>
      <c r="J157" s="6" t="s">
        <v>501</v>
      </c>
      <c r="K157" s="1"/>
      <c r="L157" s="4">
        <f t="shared" si="9"/>
        <v>952.52</v>
      </c>
      <c r="M157" s="4" t="s">
        <v>20</v>
      </c>
      <c r="N157" s="4">
        <f t="shared" si="10"/>
        <v>1124.1</v>
      </c>
      <c r="O157" s="4" t="s">
        <v>21</v>
      </c>
      <c r="P157" s="4">
        <f t="shared" si="11"/>
        <v>811.6</v>
      </c>
      <c r="Q157" s="4" t="s">
        <v>22</v>
      </c>
      <c r="R157" s="4" t="str">
        <f t="shared" si="12"/>
        <v>952.52(811.6,1124.1)</v>
      </c>
      <c r="S157" s="4"/>
      <c r="T157" s="4"/>
      <c r="U157" s="4"/>
    </row>
    <row r="158" hidden="1" spans="1:21">
      <c r="A158" s="1" t="s">
        <v>502</v>
      </c>
      <c r="B158" s="1" t="s">
        <v>120</v>
      </c>
      <c r="C158" s="1" t="s">
        <v>13</v>
      </c>
      <c r="D158" s="1" t="s">
        <v>14</v>
      </c>
      <c r="E158" s="1" t="s">
        <v>15</v>
      </c>
      <c r="F158" s="1" t="s">
        <v>16</v>
      </c>
      <c r="G158" s="1">
        <v>1991</v>
      </c>
      <c r="H158" s="6" t="s">
        <v>503</v>
      </c>
      <c r="I158" s="6" t="s">
        <v>504</v>
      </c>
      <c r="J158" s="6" t="s">
        <v>505</v>
      </c>
      <c r="K158" s="1"/>
      <c r="L158" s="4">
        <f t="shared" si="9"/>
        <v>6874585.15</v>
      </c>
      <c r="M158" s="4" t="s">
        <v>20</v>
      </c>
      <c r="N158" s="4">
        <f t="shared" si="10"/>
        <v>7440087.09</v>
      </c>
      <c r="O158" s="4" t="s">
        <v>21</v>
      </c>
      <c r="P158" s="4">
        <f t="shared" si="11"/>
        <v>6339021.28</v>
      </c>
      <c r="Q158" s="4" t="s">
        <v>22</v>
      </c>
      <c r="R158" s="4" t="str">
        <f t="shared" si="12"/>
        <v>6874585.15(6339021.28,7440087.09)</v>
      </c>
      <c r="S158" s="4"/>
      <c r="T158" s="4"/>
      <c r="U158" s="4"/>
    </row>
    <row r="159" hidden="1" spans="1:21">
      <c r="A159" s="1" t="s">
        <v>502</v>
      </c>
      <c r="B159" s="1" t="s">
        <v>120</v>
      </c>
      <c r="C159" s="1" t="s">
        <v>13</v>
      </c>
      <c r="D159" s="1" t="s">
        <v>14</v>
      </c>
      <c r="E159" s="1" t="s">
        <v>15</v>
      </c>
      <c r="F159" s="1" t="s">
        <v>23</v>
      </c>
      <c r="G159" s="1">
        <v>1991</v>
      </c>
      <c r="H159" s="6" t="s">
        <v>506</v>
      </c>
      <c r="I159" s="6" t="s">
        <v>507</v>
      </c>
      <c r="J159" s="6" t="s">
        <v>508</v>
      </c>
      <c r="K159" s="1"/>
      <c r="L159" s="4">
        <f t="shared" si="9"/>
        <v>1978.81</v>
      </c>
      <c r="M159" s="4" t="s">
        <v>20</v>
      </c>
      <c r="N159" s="4">
        <f t="shared" si="10"/>
        <v>2141.59</v>
      </c>
      <c r="O159" s="4" t="s">
        <v>21</v>
      </c>
      <c r="P159" s="4">
        <f t="shared" si="11"/>
        <v>1824.65</v>
      </c>
      <c r="Q159" s="4" t="s">
        <v>22</v>
      </c>
      <c r="R159" s="4" t="str">
        <f t="shared" si="12"/>
        <v>1978.81(1824.65,2141.59)</v>
      </c>
      <c r="S159" s="4"/>
      <c r="T159" s="4"/>
      <c r="U159" s="4"/>
    </row>
    <row r="160" hidden="1" spans="1:21">
      <c r="A160" s="1" t="s">
        <v>502</v>
      </c>
      <c r="B160" s="1" t="s">
        <v>120</v>
      </c>
      <c r="C160" s="1" t="s">
        <v>13</v>
      </c>
      <c r="D160" s="1" t="s">
        <v>14</v>
      </c>
      <c r="E160" s="1" t="s">
        <v>15</v>
      </c>
      <c r="F160" s="1" t="s">
        <v>16</v>
      </c>
      <c r="G160" s="1">
        <v>2021</v>
      </c>
      <c r="H160" s="6" t="s">
        <v>509</v>
      </c>
      <c r="I160" s="6" t="s">
        <v>510</v>
      </c>
      <c r="J160" s="6" t="s">
        <v>511</v>
      </c>
      <c r="K160" s="1"/>
      <c r="L160" s="4">
        <f t="shared" si="9"/>
        <v>47054389.64</v>
      </c>
      <c r="M160" s="4" t="s">
        <v>20</v>
      </c>
      <c r="N160" s="4">
        <f t="shared" si="10"/>
        <v>50752953.79</v>
      </c>
      <c r="O160" s="4" t="s">
        <v>21</v>
      </c>
      <c r="P160" s="4">
        <f t="shared" si="11"/>
        <v>43672408.1</v>
      </c>
      <c r="Q160" s="4" t="s">
        <v>22</v>
      </c>
      <c r="R160" s="4" t="str">
        <f t="shared" si="12"/>
        <v>47054389.64(43672408.1,50752953.79)</v>
      </c>
      <c r="S160" s="4"/>
      <c r="T160" s="4"/>
      <c r="U160" s="4"/>
    </row>
    <row r="161" hidden="1" spans="1:21">
      <c r="A161" s="1" t="s">
        <v>502</v>
      </c>
      <c r="B161" s="1" t="s">
        <v>120</v>
      </c>
      <c r="C161" s="1" t="s">
        <v>13</v>
      </c>
      <c r="D161" s="1" t="s">
        <v>14</v>
      </c>
      <c r="E161" s="1" t="s">
        <v>15</v>
      </c>
      <c r="F161" s="1" t="s">
        <v>23</v>
      </c>
      <c r="G161" s="1">
        <v>2021</v>
      </c>
      <c r="H161" s="6" t="s">
        <v>512</v>
      </c>
      <c r="I161" s="6" t="s">
        <v>513</v>
      </c>
      <c r="J161" s="6" t="s">
        <v>514</v>
      </c>
      <c r="K161" s="1"/>
      <c r="L161" s="4">
        <f t="shared" si="9"/>
        <v>7552.87</v>
      </c>
      <c r="M161" s="4" t="s">
        <v>20</v>
      </c>
      <c r="N161" s="4">
        <f t="shared" si="10"/>
        <v>8146.54</v>
      </c>
      <c r="O161" s="4" t="s">
        <v>21</v>
      </c>
      <c r="P161" s="4">
        <f t="shared" si="11"/>
        <v>7010.02</v>
      </c>
      <c r="Q161" s="4" t="s">
        <v>22</v>
      </c>
      <c r="R161" s="4" t="str">
        <f t="shared" si="12"/>
        <v>7552.87(7010.02,8146.54)</v>
      </c>
      <c r="S161" s="4"/>
      <c r="T161" s="4"/>
      <c r="U161" s="4"/>
    </row>
    <row r="162" hidden="1" spans="1:21">
      <c r="A162" s="1" t="s">
        <v>502</v>
      </c>
      <c r="B162" s="1" t="s">
        <v>120</v>
      </c>
      <c r="C162" s="1" t="s">
        <v>13</v>
      </c>
      <c r="D162" s="1" t="s">
        <v>27</v>
      </c>
      <c r="E162" s="1" t="s">
        <v>15</v>
      </c>
      <c r="F162" s="1" t="s">
        <v>23</v>
      </c>
      <c r="G162" s="1">
        <v>1991</v>
      </c>
      <c r="H162" s="6" t="s">
        <v>515</v>
      </c>
      <c r="I162" s="6" t="s">
        <v>516</v>
      </c>
      <c r="J162" s="6" t="s">
        <v>517</v>
      </c>
      <c r="K162" s="1"/>
      <c r="L162" s="4">
        <f t="shared" si="9"/>
        <v>3491.25</v>
      </c>
      <c r="M162" s="4" t="s">
        <v>20</v>
      </c>
      <c r="N162" s="4">
        <f t="shared" si="10"/>
        <v>3770.91</v>
      </c>
      <c r="O162" s="4" t="s">
        <v>21</v>
      </c>
      <c r="P162" s="4">
        <f t="shared" si="11"/>
        <v>3231.53</v>
      </c>
      <c r="Q162" s="4" t="s">
        <v>22</v>
      </c>
      <c r="R162" s="4" t="str">
        <f t="shared" si="12"/>
        <v>3491.25(3231.53,3770.91)</v>
      </c>
      <c r="S162" s="4"/>
      <c r="T162" s="4"/>
      <c r="U162" s="4"/>
    </row>
    <row r="163" hidden="1" spans="1:21">
      <c r="A163" s="1" t="s">
        <v>502</v>
      </c>
      <c r="B163" s="1" t="s">
        <v>120</v>
      </c>
      <c r="C163" s="1" t="s">
        <v>13</v>
      </c>
      <c r="D163" s="1" t="s">
        <v>27</v>
      </c>
      <c r="E163" s="1" t="s">
        <v>15</v>
      </c>
      <c r="F163" s="1" t="s">
        <v>23</v>
      </c>
      <c r="G163" s="1">
        <v>2021</v>
      </c>
      <c r="H163" s="6" t="s">
        <v>518</v>
      </c>
      <c r="I163" s="6" t="s">
        <v>519</v>
      </c>
      <c r="J163" s="6" t="s">
        <v>520</v>
      </c>
      <c r="K163" s="1"/>
      <c r="L163" s="4">
        <f t="shared" si="9"/>
        <v>8961.36</v>
      </c>
      <c r="M163" s="4" t="s">
        <v>20</v>
      </c>
      <c r="N163" s="4">
        <f t="shared" si="10"/>
        <v>9640.41</v>
      </c>
      <c r="O163" s="4" t="s">
        <v>21</v>
      </c>
      <c r="P163" s="4">
        <f t="shared" si="11"/>
        <v>8330.52</v>
      </c>
      <c r="Q163" s="4" t="s">
        <v>22</v>
      </c>
      <c r="R163" s="4" t="str">
        <f t="shared" si="12"/>
        <v>8961.36(8330.52,9640.41)</v>
      </c>
      <c r="S163" s="4"/>
      <c r="T163" s="4"/>
      <c r="U163" s="4"/>
    </row>
    <row r="164" hidden="1" spans="1:21">
      <c r="A164" s="1" t="s">
        <v>502</v>
      </c>
      <c r="B164" s="1" t="s">
        <v>71</v>
      </c>
      <c r="C164" s="1" t="s">
        <v>13</v>
      </c>
      <c r="D164" s="1" t="s">
        <v>14</v>
      </c>
      <c r="E164" s="1" t="s">
        <v>15</v>
      </c>
      <c r="F164" s="1" t="s">
        <v>16</v>
      </c>
      <c r="G164" s="1">
        <v>1991</v>
      </c>
      <c r="H164" s="6" t="s">
        <v>521</v>
      </c>
      <c r="I164" s="6" t="s">
        <v>522</v>
      </c>
      <c r="J164" s="6" t="s">
        <v>523</v>
      </c>
      <c r="K164" s="1"/>
      <c r="L164" s="4">
        <f t="shared" si="9"/>
        <v>11803641.89</v>
      </c>
      <c r="M164" s="4" t="s">
        <v>20</v>
      </c>
      <c r="N164" s="4">
        <f t="shared" si="10"/>
        <v>12809388.51</v>
      </c>
      <c r="O164" s="4" t="s">
        <v>21</v>
      </c>
      <c r="P164" s="4">
        <f t="shared" si="11"/>
        <v>10880733.73</v>
      </c>
      <c r="Q164" s="4" t="s">
        <v>22</v>
      </c>
      <c r="R164" s="4" t="str">
        <f t="shared" si="12"/>
        <v>11803641.89(10880733.73,12809388.51)</v>
      </c>
      <c r="S164" s="4"/>
      <c r="T164" s="4"/>
      <c r="U164" s="4"/>
    </row>
    <row r="165" hidden="1" spans="1:21">
      <c r="A165" s="1" t="s">
        <v>502</v>
      </c>
      <c r="B165" s="1" t="s">
        <v>71</v>
      </c>
      <c r="C165" s="1" t="s">
        <v>13</v>
      </c>
      <c r="D165" s="1" t="s">
        <v>14</v>
      </c>
      <c r="E165" s="1" t="s">
        <v>15</v>
      </c>
      <c r="F165" s="1" t="s">
        <v>23</v>
      </c>
      <c r="G165" s="1">
        <v>1991</v>
      </c>
      <c r="H165" s="6" t="s">
        <v>524</v>
      </c>
      <c r="I165" s="6" t="s">
        <v>525</v>
      </c>
      <c r="J165" s="6" t="s">
        <v>526</v>
      </c>
      <c r="K165" s="1"/>
      <c r="L165" s="4">
        <f t="shared" si="9"/>
        <v>2968.51</v>
      </c>
      <c r="M165" s="4" t="s">
        <v>20</v>
      </c>
      <c r="N165" s="4">
        <f t="shared" si="10"/>
        <v>3221.45</v>
      </c>
      <c r="O165" s="4" t="s">
        <v>21</v>
      </c>
      <c r="P165" s="4">
        <f t="shared" si="11"/>
        <v>2736.41</v>
      </c>
      <c r="Q165" s="4" t="s">
        <v>22</v>
      </c>
      <c r="R165" s="4" t="str">
        <f t="shared" si="12"/>
        <v>2968.51(2736.41,3221.45)</v>
      </c>
      <c r="S165" s="4"/>
      <c r="T165" s="4"/>
      <c r="U165" s="4"/>
    </row>
    <row r="166" hidden="1" spans="1:21">
      <c r="A166" s="1" t="s">
        <v>502</v>
      </c>
      <c r="B166" s="1" t="s">
        <v>71</v>
      </c>
      <c r="C166" s="1" t="s">
        <v>13</v>
      </c>
      <c r="D166" s="1" t="s">
        <v>14</v>
      </c>
      <c r="E166" s="1" t="s">
        <v>15</v>
      </c>
      <c r="F166" s="1" t="s">
        <v>16</v>
      </c>
      <c r="G166" s="1">
        <v>2021</v>
      </c>
      <c r="H166" s="6" t="s">
        <v>527</v>
      </c>
      <c r="I166" s="6" t="s">
        <v>528</v>
      </c>
      <c r="J166" s="6" t="s">
        <v>529</v>
      </c>
      <c r="K166" s="1"/>
      <c r="L166" s="4">
        <f t="shared" si="9"/>
        <v>41447961.52</v>
      </c>
      <c r="M166" s="4" t="s">
        <v>20</v>
      </c>
      <c r="N166" s="4">
        <f t="shared" si="10"/>
        <v>44828459.62</v>
      </c>
      <c r="O166" s="4" t="s">
        <v>21</v>
      </c>
      <c r="P166" s="4">
        <f t="shared" si="11"/>
        <v>38253940.36</v>
      </c>
      <c r="Q166" s="4" t="s">
        <v>22</v>
      </c>
      <c r="R166" s="4" t="str">
        <f t="shared" si="12"/>
        <v>41447961.52(38253940.36,44828459.62)</v>
      </c>
      <c r="S166" s="4"/>
      <c r="T166" s="4"/>
      <c r="U166" s="4"/>
    </row>
    <row r="167" hidden="1" spans="1:21">
      <c r="A167" s="1" t="s">
        <v>502</v>
      </c>
      <c r="B167" s="1" t="s">
        <v>71</v>
      </c>
      <c r="C167" s="1" t="s">
        <v>13</v>
      </c>
      <c r="D167" s="1" t="s">
        <v>14</v>
      </c>
      <c r="E167" s="1" t="s">
        <v>15</v>
      </c>
      <c r="F167" s="1" t="s">
        <v>23</v>
      </c>
      <c r="G167" s="1">
        <v>2021</v>
      </c>
      <c r="H167" s="6" t="s">
        <v>530</v>
      </c>
      <c r="I167" s="6" t="s">
        <v>531</v>
      </c>
      <c r="J167" s="6" t="s">
        <v>532</v>
      </c>
      <c r="K167" s="1"/>
      <c r="L167" s="4">
        <f t="shared" si="9"/>
        <v>6976.38</v>
      </c>
      <c r="M167" s="4" t="s">
        <v>20</v>
      </c>
      <c r="N167" s="4">
        <f t="shared" si="10"/>
        <v>7545.37</v>
      </c>
      <c r="O167" s="4" t="s">
        <v>21</v>
      </c>
      <c r="P167" s="4">
        <f t="shared" si="11"/>
        <v>6438.77</v>
      </c>
      <c r="Q167" s="4" t="s">
        <v>22</v>
      </c>
      <c r="R167" s="4" t="str">
        <f t="shared" si="12"/>
        <v>6976.38(6438.77,7545.37)</v>
      </c>
      <c r="S167" s="4"/>
      <c r="T167" s="4"/>
      <c r="U167" s="4"/>
    </row>
    <row r="168" hidden="1" spans="1:21">
      <c r="A168" s="1" t="s">
        <v>502</v>
      </c>
      <c r="B168" s="1" t="s">
        <v>71</v>
      </c>
      <c r="C168" s="1" t="s">
        <v>13</v>
      </c>
      <c r="D168" s="1" t="s">
        <v>27</v>
      </c>
      <c r="E168" s="1" t="s">
        <v>15</v>
      </c>
      <c r="F168" s="1" t="s">
        <v>23</v>
      </c>
      <c r="G168" s="1">
        <v>1991</v>
      </c>
      <c r="H168" s="6" t="s">
        <v>533</v>
      </c>
      <c r="I168" s="6" t="s">
        <v>534</v>
      </c>
      <c r="J168" s="6" t="s">
        <v>535</v>
      </c>
      <c r="K168" s="1"/>
      <c r="L168" s="4">
        <f t="shared" ref="L168:L231" si="13">ROUND(H168,2)</f>
        <v>4547.95</v>
      </c>
      <c r="M168" s="4" t="s">
        <v>20</v>
      </c>
      <c r="N168" s="4">
        <f t="shared" si="10"/>
        <v>4929.91</v>
      </c>
      <c r="O168" s="4" t="s">
        <v>21</v>
      </c>
      <c r="P168" s="4">
        <f t="shared" si="11"/>
        <v>4210.29</v>
      </c>
      <c r="Q168" s="4" t="s">
        <v>22</v>
      </c>
      <c r="R168" s="4" t="str">
        <f t="shared" si="12"/>
        <v>4547.95(4210.29,4929.91)</v>
      </c>
      <c r="S168" s="4"/>
      <c r="T168" s="4"/>
      <c r="U168" s="4"/>
    </row>
    <row r="169" hidden="1" spans="1:21">
      <c r="A169" s="1" t="s">
        <v>502</v>
      </c>
      <c r="B169" s="1" t="s">
        <v>71</v>
      </c>
      <c r="C169" s="1" t="s">
        <v>13</v>
      </c>
      <c r="D169" s="1" t="s">
        <v>27</v>
      </c>
      <c r="E169" s="1" t="s">
        <v>15</v>
      </c>
      <c r="F169" s="1" t="s">
        <v>23</v>
      </c>
      <c r="G169" s="1">
        <v>2021</v>
      </c>
      <c r="H169" s="6" t="s">
        <v>536</v>
      </c>
      <c r="I169" s="6" t="s">
        <v>537</v>
      </c>
      <c r="J169" s="6" t="s">
        <v>538</v>
      </c>
      <c r="K169" s="1"/>
      <c r="L169" s="4">
        <f t="shared" si="13"/>
        <v>6520.2</v>
      </c>
      <c r="M169" s="4" t="s">
        <v>20</v>
      </c>
      <c r="N169" s="4">
        <f t="shared" si="10"/>
        <v>7050.06</v>
      </c>
      <c r="O169" s="4" t="s">
        <v>21</v>
      </c>
      <c r="P169" s="4">
        <f t="shared" si="11"/>
        <v>6023.92</v>
      </c>
      <c r="Q169" s="4" t="s">
        <v>22</v>
      </c>
      <c r="R169" s="4" t="str">
        <f t="shared" si="12"/>
        <v>6520.2(6023.92,7050.06)</v>
      </c>
      <c r="S169" s="4"/>
      <c r="T169" s="4"/>
      <c r="U169" s="4"/>
    </row>
    <row r="170" hidden="1" spans="1:21">
      <c r="A170" s="1" t="s">
        <v>502</v>
      </c>
      <c r="B170" s="1" t="s">
        <v>140</v>
      </c>
      <c r="C170" s="1" t="s">
        <v>13</v>
      </c>
      <c r="D170" s="1" t="s">
        <v>14</v>
      </c>
      <c r="E170" s="1" t="s">
        <v>15</v>
      </c>
      <c r="F170" s="1" t="s">
        <v>16</v>
      </c>
      <c r="G170" s="1">
        <v>1991</v>
      </c>
      <c r="H170" s="6" t="s">
        <v>539</v>
      </c>
      <c r="I170" s="6" t="s">
        <v>540</v>
      </c>
      <c r="J170" s="6" t="s">
        <v>541</v>
      </c>
      <c r="K170" s="1"/>
      <c r="L170" s="4">
        <f t="shared" si="13"/>
        <v>44816224.64</v>
      </c>
      <c r="M170" s="4" t="s">
        <v>20</v>
      </c>
      <c r="N170" s="4">
        <f t="shared" si="10"/>
        <v>49268140.34</v>
      </c>
      <c r="O170" s="4" t="s">
        <v>21</v>
      </c>
      <c r="P170" s="4">
        <f t="shared" si="11"/>
        <v>40458433.98</v>
      </c>
      <c r="Q170" s="4" t="s">
        <v>22</v>
      </c>
      <c r="R170" s="4" t="str">
        <f t="shared" si="12"/>
        <v>44816224.64(40458433.98,49268140.34)</v>
      </c>
      <c r="S170" s="4"/>
      <c r="T170" s="4"/>
      <c r="U170" s="4"/>
    </row>
    <row r="171" hidden="1" spans="1:21">
      <c r="A171" s="1" t="s">
        <v>502</v>
      </c>
      <c r="B171" s="1" t="s">
        <v>140</v>
      </c>
      <c r="C171" s="1" t="s">
        <v>13</v>
      </c>
      <c r="D171" s="1" t="s">
        <v>14</v>
      </c>
      <c r="E171" s="1" t="s">
        <v>15</v>
      </c>
      <c r="F171" s="1" t="s">
        <v>23</v>
      </c>
      <c r="G171" s="1">
        <v>1991</v>
      </c>
      <c r="H171" s="6" t="s">
        <v>542</v>
      </c>
      <c r="I171" s="6" t="s">
        <v>543</v>
      </c>
      <c r="J171" s="6" t="s">
        <v>544</v>
      </c>
      <c r="K171" s="1"/>
      <c r="L171" s="4">
        <f t="shared" si="13"/>
        <v>2613.75</v>
      </c>
      <c r="M171" s="4" t="s">
        <v>20</v>
      </c>
      <c r="N171" s="4">
        <f t="shared" si="10"/>
        <v>2873.39</v>
      </c>
      <c r="O171" s="4" t="s">
        <v>21</v>
      </c>
      <c r="P171" s="4">
        <f t="shared" si="11"/>
        <v>2359.6</v>
      </c>
      <c r="Q171" s="4" t="s">
        <v>22</v>
      </c>
      <c r="R171" s="4" t="str">
        <f t="shared" si="12"/>
        <v>2613.75(2359.6,2873.39)</v>
      </c>
      <c r="S171" s="4"/>
      <c r="T171" s="4"/>
      <c r="U171" s="4"/>
    </row>
    <row r="172" hidden="1" spans="1:21">
      <c r="A172" s="1" t="s">
        <v>502</v>
      </c>
      <c r="B172" s="1" t="s">
        <v>140</v>
      </c>
      <c r="C172" s="1" t="s">
        <v>13</v>
      </c>
      <c r="D172" s="1" t="s">
        <v>14</v>
      </c>
      <c r="E172" s="1" t="s">
        <v>15</v>
      </c>
      <c r="F172" s="1" t="s">
        <v>16</v>
      </c>
      <c r="G172" s="1">
        <v>2021</v>
      </c>
      <c r="H172" s="6" t="s">
        <v>545</v>
      </c>
      <c r="I172" s="6" t="s">
        <v>546</v>
      </c>
      <c r="J172" s="6" t="s">
        <v>547</v>
      </c>
      <c r="K172" s="1"/>
      <c r="L172" s="4">
        <f t="shared" si="13"/>
        <v>155996039.06</v>
      </c>
      <c r="M172" s="4" t="s">
        <v>20</v>
      </c>
      <c r="N172" s="4">
        <f t="shared" si="10"/>
        <v>169626551.21</v>
      </c>
      <c r="O172" s="4" t="s">
        <v>21</v>
      </c>
      <c r="P172" s="4">
        <f t="shared" si="11"/>
        <v>143961064.05</v>
      </c>
      <c r="Q172" s="4" t="s">
        <v>22</v>
      </c>
      <c r="R172" s="4" t="str">
        <f t="shared" si="12"/>
        <v>155996039.06(143961064.05,169626551.21)</v>
      </c>
      <c r="S172" s="4"/>
      <c r="T172" s="4"/>
      <c r="U172" s="4"/>
    </row>
    <row r="173" hidden="1" spans="1:21">
      <c r="A173" s="1" t="s">
        <v>502</v>
      </c>
      <c r="B173" s="1" t="s">
        <v>140</v>
      </c>
      <c r="C173" s="1" t="s">
        <v>13</v>
      </c>
      <c r="D173" s="1" t="s">
        <v>14</v>
      </c>
      <c r="E173" s="1" t="s">
        <v>15</v>
      </c>
      <c r="F173" s="1" t="s">
        <v>23</v>
      </c>
      <c r="G173" s="1">
        <v>2021</v>
      </c>
      <c r="H173" s="6" t="s">
        <v>548</v>
      </c>
      <c r="I173" s="6" t="s">
        <v>549</v>
      </c>
      <c r="J173" s="6" t="s">
        <v>550</v>
      </c>
      <c r="K173" s="1"/>
      <c r="L173" s="4">
        <f t="shared" si="13"/>
        <v>7139.38</v>
      </c>
      <c r="M173" s="4" t="s">
        <v>20</v>
      </c>
      <c r="N173" s="4">
        <f t="shared" si="10"/>
        <v>7763.2</v>
      </c>
      <c r="O173" s="4" t="s">
        <v>21</v>
      </c>
      <c r="P173" s="4">
        <f t="shared" si="11"/>
        <v>6588.59</v>
      </c>
      <c r="Q173" s="4" t="s">
        <v>22</v>
      </c>
      <c r="R173" s="4" t="str">
        <f t="shared" si="12"/>
        <v>7139.38(6588.59,7763.2)</v>
      </c>
      <c r="S173" s="4"/>
      <c r="T173" s="4"/>
      <c r="U173" s="4"/>
    </row>
    <row r="174" hidden="1" spans="1:21">
      <c r="A174" s="1" t="s">
        <v>502</v>
      </c>
      <c r="B174" s="1" t="s">
        <v>140</v>
      </c>
      <c r="C174" s="1" t="s">
        <v>13</v>
      </c>
      <c r="D174" s="1" t="s">
        <v>27</v>
      </c>
      <c r="E174" s="1" t="s">
        <v>15</v>
      </c>
      <c r="F174" s="1" t="s">
        <v>23</v>
      </c>
      <c r="G174" s="1">
        <v>1991</v>
      </c>
      <c r="H174" s="6" t="s">
        <v>551</v>
      </c>
      <c r="I174" s="6" t="s">
        <v>552</v>
      </c>
      <c r="J174" s="6" t="s">
        <v>553</v>
      </c>
      <c r="K174" s="1"/>
      <c r="L174" s="4">
        <f t="shared" si="13"/>
        <v>3350.39</v>
      </c>
      <c r="M174" s="4" t="s">
        <v>20</v>
      </c>
      <c r="N174" s="4">
        <f t="shared" si="10"/>
        <v>3710.95</v>
      </c>
      <c r="O174" s="4" t="s">
        <v>21</v>
      </c>
      <c r="P174" s="4">
        <f t="shared" si="11"/>
        <v>3017.05</v>
      </c>
      <c r="Q174" s="4" t="s">
        <v>22</v>
      </c>
      <c r="R174" s="4" t="str">
        <f t="shared" si="12"/>
        <v>3350.39(3017.05,3710.95)</v>
      </c>
      <c r="S174" s="4"/>
      <c r="T174" s="4"/>
      <c r="U174" s="4"/>
    </row>
    <row r="175" hidden="1" spans="1:21">
      <c r="A175" s="1" t="s">
        <v>502</v>
      </c>
      <c r="B175" s="1" t="s">
        <v>140</v>
      </c>
      <c r="C175" s="1" t="s">
        <v>13</v>
      </c>
      <c r="D175" s="1" t="s">
        <v>27</v>
      </c>
      <c r="E175" s="1" t="s">
        <v>15</v>
      </c>
      <c r="F175" s="1" t="s">
        <v>23</v>
      </c>
      <c r="G175" s="1">
        <v>2021</v>
      </c>
      <c r="H175" s="6" t="s">
        <v>554</v>
      </c>
      <c r="I175" s="6" t="s">
        <v>555</v>
      </c>
      <c r="J175" s="6" t="s">
        <v>556</v>
      </c>
      <c r="K175" s="1"/>
      <c r="L175" s="4">
        <f t="shared" si="13"/>
        <v>5633.69</v>
      </c>
      <c r="M175" s="4" t="s">
        <v>20</v>
      </c>
      <c r="N175" s="4">
        <f t="shared" si="10"/>
        <v>6106.61</v>
      </c>
      <c r="O175" s="4" t="s">
        <v>21</v>
      </c>
      <c r="P175" s="4">
        <f t="shared" si="11"/>
        <v>5192.98</v>
      </c>
      <c r="Q175" s="4" t="s">
        <v>22</v>
      </c>
      <c r="R175" s="4" t="str">
        <f t="shared" si="12"/>
        <v>5633.69(5192.98,6106.61)</v>
      </c>
      <c r="S175" s="4"/>
      <c r="T175" s="4"/>
      <c r="U175" s="4"/>
    </row>
    <row r="176" hidden="1" spans="1:21">
      <c r="A176" s="1" t="s">
        <v>502</v>
      </c>
      <c r="B176" s="1" t="s">
        <v>91</v>
      </c>
      <c r="C176" s="1" t="s">
        <v>13</v>
      </c>
      <c r="D176" s="1" t="s">
        <v>14</v>
      </c>
      <c r="E176" s="1" t="s">
        <v>15</v>
      </c>
      <c r="F176" s="1" t="s">
        <v>16</v>
      </c>
      <c r="G176" s="1">
        <v>1991</v>
      </c>
      <c r="H176" s="6" t="s">
        <v>557</v>
      </c>
      <c r="I176" s="1">
        <v>147395724.6</v>
      </c>
      <c r="J176" s="6" t="s">
        <v>558</v>
      </c>
      <c r="K176" s="1"/>
      <c r="L176" s="4">
        <f t="shared" si="13"/>
        <v>134973616.16</v>
      </c>
      <c r="M176" s="4" t="s">
        <v>20</v>
      </c>
      <c r="N176" s="4">
        <f t="shared" si="10"/>
        <v>147395724.6</v>
      </c>
      <c r="O176" s="4" t="s">
        <v>21</v>
      </c>
      <c r="P176" s="4">
        <f t="shared" si="11"/>
        <v>123577027.7</v>
      </c>
      <c r="Q176" s="4" t="s">
        <v>22</v>
      </c>
      <c r="R176" s="4" t="str">
        <f t="shared" si="12"/>
        <v>134973616.16(123577027.7,147395724.6)</v>
      </c>
      <c r="S176" s="4"/>
      <c r="T176" s="4"/>
      <c r="U176" s="4"/>
    </row>
    <row r="177" hidden="1" spans="1:21">
      <c r="A177" s="1" t="s">
        <v>502</v>
      </c>
      <c r="B177" s="1" t="s">
        <v>91</v>
      </c>
      <c r="C177" s="1" t="s">
        <v>13</v>
      </c>
      <c r="D177" s="1" t="s">
        <v>14</v>
      </c>
      <c r="E177" s="1" t="s">
        <v>15</v>
      </c>
      <c r="F177" s="1" t="s">
        <v>23</v>
      </c>
      <c r="G177" s="1">
        <v>1991</v>
      </c>
      <c r="H177" s="6" t="s">
        <v>559</v>
      </c>
      <c r="I177" s="6" t="s">
        <v>560</v>
      </c>
      <c r="J177" s="6" t="s">
        <v>561</v>
      </c>
      <c r="K177" s="1"/>
      <c r="L177" s="4">
        <f t="shared" si="13"/>
        <v>2491.89</v>
      </c>
      <c r="M177" s="4" t="s">
        <v>20</v>
      </c>
      <c r="N177" s="4">
        <f t="shared" si="10"/>
        <v>2721.23</v>
      </c>
      <c r="O177" s="4" t="s">
        <v>21</v>
      </c>
      <c r="P177" s="4">
        <f t="shared" si="11"/>
        <v>2281.49</v>
      </c>
      <c r="Q177" s="4" t="s">
        <v>22</v>
      </c>
      <c r="R177" s="4" t="str">
        <f t="shared" si="12"/>
        <v>2491.89(2281.49,2721.23)</v>
      </c>
      <c r="S177" s="4"/>
      <c r="T177" s="4"/>
      <c r="U177" s="4"/>
    </row>
    <row r="178" spans="1:21">
      <c r="A178" s="1" t="s">
        <v>502</v>
      </c>
      <c r="B178" s="1" t="s">
        <v>91</v>
      </c>
      <c r="C178" s="1" t="s">
        <v>13</v>
      </c>
      <c r="D178" s="1" t="s">
        <v>14</v>
      </c>
      <c r="E178" s="1" t="s">
        <v>15</v>
      </c>
      <c r="F178" s="1" t="s">
        <v>16</v>
      </c>
      <c r="G178" s="1">
        <v>2021</v>
      </c>
      <c r="H178" s="6" t="s">
        <v>562</v>
      </c>
      <c r="I178" s="6" t="s">
        <v>563</v>
      </c>
      <c r="J178" s="6" t="s">
        <v>564</v>
      </c>
      <c r="K178" s="1"/>
      <c r="L178" s="4">
        <f t="shared" si="13"/>
        <v>506037583.62</v>
      </c>
      <c r="M178" s="4" t="s">
        <v>20</v>
      </c>
      <c r="N178" s="4">
        <f t="shared" si="10"/>
        <v>545298325.38</v>
      </c>
      <c r="O178" s="4" t="s">
        <v>21</v>
      </c>
      <c r="P178" s="4">
        <f t="shared" si="11"/>
        <v>469995870.88</v>
      </c>
      <c r="Q178" s="4" t="s">
        <v>22</v>
      </c>
      <c r="R178" s="4" t="str">
        <f t="shared" si="12"/>
        <v>506037583.62(469995870.88,545298325.38)</v>
      </c>
      <c r="S178" s="4"/>
      <c r="T178" s="4"/>
      <c r="U178" s="4"/>
    </row>
    <row r="179" spans="1:21">
      <c r="A179" s="1" t="s">
        <v>502</v>
      </c>
      <c r="B179" s="1" t="s">
        <v>91</v>
      </c>
      <c r="C179" s="1" t="s">
        <v>13</v>
      </c>
      <c r="D179" s="1" t="s">
        <v>14</v>
      </c>
      <c r="E179" s="1" t="s">
        <v>15</v>
      </c>
      <c r="F179" s="1" t="s">
        <v>23</v>
      </c>
      <c r="G179" s="1">
        <v>2021</v>
      </c>
      <c r="H179" s="6" t="s">
        <v>565</v>
      </c>
      <c r="I179" s="6" t="s">
        <v>566</v>
      </c>
      <c r="J179" s="6" t="s">
        <v>567</v>
      </c>
      <c r="K179" s="1"/>
      <c r="L179" s="4">
        <f t="shared" si="13"/>
        <v>6412.56</v>
      </c>
      <c r="M179" s="4" t="s">
        <v>20</v>
      </c>
      <c r="N179" s="4">
        <f t="shared" si="10"/>
        <v>6910.07</v>
      </c>
      <c r="O179" s="4" t="s">
        <v>21</v>
      </c>
      <c r="P179" s="4">
        <f t="shared" si="11"/>
        <v>5955.83</v>
      </c>
      <c r="Q179" s="4" t="s">
        <v>22</v>
      </c>
      <c r="R179" s="4" t="str">
        <f t="shared" si="12"/>
        <v>6412.56(5955.83,6910.07)</v>
      </c>
      <c r="S179" s="4"/>
      <c r="T179" s="4"/>
      <c r="U179" s="4"/>
    </row>
    <row r="180" hidden="1" spans="1:21">
      <c r="A180" s="1" t="s">
        <v>502</v>
      </c>
      <c r="B180" s="1" t="s">
        <v>91</v>
      </c>
      <c r="C180" s="1" t="s">
        <v>13</v>
      </c>
      <c r="D180" s="1" t="s">
        <v>27</v>
      </c>
      <c r="E180" s="1" t="s">
        <v>15</v>
      </c>
      <c r="F180" s="1" t="s">
        <v>23</v>
      </c>
      <c r="G180" s="1">
        <v>1991</v>
      </c>
      <c r="H180" s="6" t="s">
        <v>568</v>
      </c>
      <c r="I180" s="6" t="s">
        <v>569</v>
      </c>
      <c r="J180" s="6" t="s">
        <v>570</v>
      </c>
      <c r="K180" s="1"/>
      <c r="L180" s="4">
        <f t="shared" si="13"/>
        <v>3085.42</v>
      </c>
      <c r="M180" s="4" t="s">
        <v>20</v>
      </c>
      <c r="N180" s="4">
        <f t="shared" si="10"/>
        <v>3372.26</v>
      </c>
      <c r="O180" s="4" t="s">
        <v>21</v>
      </c>
      <c r="P180" s="4">
        <f t="shared" si="11"/>
        <v>2827.75</v>
      </c>
      <c r="Q180" s="4" t="s">
        <v>22</v>
      </c>
      <c r="R180" s="4" t="str">
        <f t="shared" si="12"/>
        <v>3085.42(2827.75,3372.26)</v>
      </c>
      <c r="S180" s="4"/>
      <c r="T180" s="4"/>
      <c r="U180" s="4"/>
    </row>
    <row r="181" spans="1:21">
      <c r="A181" s="1" t="s">
        <v>502</v>
      </c>
      <c r="B181" s="1" t="s">
        <v>91</v>
      </c>
      <c r="C181" s="1" t="s">
        <v>13</v>
      </c>
      <c r="D181" s="1" t="s">
        <v>27</v>
      </c>
      <c r="E181" s="1" t="s">
        <v>15</v>
      </c>
      <c r="F181" s="1" t="s">
        <v>23</v>
      </c>
      <c r="G181" s="1">
        <v>2021</v>
      </c>
      <c r="H181" s="6" t="s">
        <v>571</v>
      </c>
      <c r="I181" s="6" t="s">
        <v>572</v>
      </c>
      <c r="J181" s="6" t="s">
        <v>573</v>
      </c>
      <c r="K181" s="1"/>
      <c r="L181" s="4">
        <f t="shared" si="13"/>
        <v>5885.4</v>
      </c>
      <c r="M181" s="4" t="s">
        <v>20</v>
      </c>
      <c r="N181" s="4">
        <f t="shared" si="10"/>
        <v>6334.18</v>
      </c>
      <c r="O181" s="4" t="s">
        <v>21</v>
      </c>
      <c r="P181" s="4">
        <f t="shared" si="11"/>
        <v>5467.62</v>
      </c>
      <c r="Q181" s="4" t="s">
        <v>22</v>
      </c>
      <c r="R181" s="4" t="str">
        <f t="shared" si="12"/>
        <v>5885.4(5467.62,6334.18)</v>
      </c>
      <c r="S181" s="4"/>
      <c r="T181" s="4"/>
      <c r="U181" s="4"/>
    </row>
    <row r="182" hidden="1" spans="1:21">
      <c r="A182" s="1" t="s">
        <v>502</v>
      </c>
      <c r="B182" s="1" t="s">
        <v>51</v>
      </c>
      <c r="C182" s="1" t="s">
        <v>13</v>
      </c>
      <c r="D182" s="1" t="s">
        <v>14</v>
      </c>
      <c r="E182" s="1" t="s">
        <v>15</v>
      </c>
      <c r="F182" s="1" t="s">
        <v>16</v>
      </c>
      <c r="G182" s="1">
        <v>1991</v>
      </c>
      <c r="H182" s="6" t="s">
        <v>574</v>
      </c>
      <c r="I182" s="6" t="s">
        <v>575</v>
      </c>
      <c r="J182" s="6" t="s">
        <v>576</v>
      </c>
      <c r="K182" s="1"/>
      <c r="L182" s="4">
        <f t="shared" si="13"/>
        <v>32904948.58</v>
      </c>
      <c r="M182" s="4" t="s">
        <v>20</v>
      </c>
      <c r="N182" s="4">
        <f t="shared" si="10"/>
        <v>35727490.94</v>
      </c>
      <c r="O182" s="4" t="s">
        <v>21</v>
      </c>
      <c r="P182" s="4">
        <f t="shared" si="11"/>
        <v>30473850.6</v>
      </c>
      <c r="Q182" s="4" t="s">
        <v>22</v>
      </c>
      <c r="R182" s="4" t="str">
        <f t="shared" si="12"/>
        <v>32904948.58(30473850.6,35727490.94)</v>
      </c>
      <c r="S182" s="4"/>
      <c r="T182" s="4"/>
      <c r="U182" s="4"/>
    </row>
    <row r="183" hidden="1" spans="1:21">
      <c r="A183" s="1" t="s">
        <v>502</v>
      </c>
      <c r="B183" s="1" t="s">
        <v>51</v>
      </c>
      <c r="C183" s="1" t="s">
        <v>13</v>
      </c>
      <c r="D183" s="1" t="s">
        <v>14</v>
      </c>
      <c r="E183" s="1" t="s">
        <v>15</v>
      </c>
      <c r="F183" s="1" t="s">
        <v>23</v>
      </c>
      <c r="G183" s="1">
        <v>1991</v>
      </c>
      <c r="H183" s="6" t="s">
        <v>577</v>
      </c>
      <c r="I183" s="6" t="s">
        <v>578</v>
      </c>
      <c r="J183" s="6" t="s">
        <v>579</v>
      </c>
      <c r="K183" s="1"/>
      <c r="L183" s="4">
        <f t="shared" si="13"/>
        <v>3594.76</v>
      </c>
      <c r="M183" s="4" t="s">
        <v>20</v>
      </c>
      <c r="N183" s="4">
        <f t="shared" si="10"/>
        <v>3903.12</v>
      </c>
      <c r="O183" s="4" t="s">
        <v>21</v>
      </c>
      <c r="P183" s="4">
        <f t="shared" si="11"/>
        <v>3329.17</v>
      </c>
      <c r="Q183" s="4" t="s">
        <v>22</v>
      </c>
      <c r="R183" s="4" t="str">
        <f t="shared" si="12"/>
        <v>3594.76(3329.17,3903.12)</v>
      </c>
      <c r="S183" s="4"/>
      <c r="T183" s="4"/>
      <c r="U183" s="4"/>
    </row>
    <row r="184" hidden="1" spans="1:21">
      <c r="A184" s="1" t="s">
        <v>502</v>
      </c>
      <c r="B184" s="1" t="s">
        <v>51</v>
      </c>
      <c r="C184" s="1" t="s">
        <v>13</v>
      </c>
      <c r="D184" s="1" t="s">
        <v>14</v>
      </c>
      <c r="E184" s="1" t="s">
        <v>15</v>
      </c>
      <c r="F184" s="1" t="s">
        <v>16</v>
      </c>
      <c r="G184" s="1">
        <v>2021</v>
      </c>
      <c r="H184" s="6" t="s">
        <v>580</v>
      </c>
      <c r="I184" s="6" t="s">
        <v>581</v>
      </c>
      <c r="J184" s="6" t="s">
        <v>582</v>
      </c>
      <c r="K184" s="1"/>
      <c r="L184" s="4">
        <f t="shared" si="13"/>
        <v>112428625.89</v>
      </c>
      <c r="M184" s="4" t="s">
        <v>20</v>
      </c>
      <c r="N184" s="4">
        <f t="shared" si="10"/>
        <v>119939344.99</v>
      </c>
      <c r="O184" s="4" t="s">
        <v>21</v>
      </c>
      <c r="P184" s="4">
        <f t="shared" si="11"/>
        <v>105864396.36</v>
      </c>
      <c r="Q184" s="4" t="s">
        <v>22</v>
      </c>
      <c r="R184" s="4" t="str">
        <f t="shared" si="12"/>
        <v>112428625.89(105864396.36,119939344.99)</v>
      </c>
      <c r="S184" s="4"/>
      <c r="T184" s="4"/>
      <c r="U184" s="4"/>
    </row>
    <row r="185" hidden="1" spans="1:21">
      <c r="A185" s="1" t="s">
        <v>502</v>
      </c>
      <c r="B185" s="1" t="s">
        <v>51</v>
      </c>
      <c r="C185" s="1" t="s">
        <v>13</v>
      </c>
      <c r="D185" s="1" t="s">
        <v>14</v>
      </c>
      <c r="E185" s="1" t="s">
        <v>15</v>
      </c>
      <c r="F185" s="1" t="s">
        <v>23</v>
      </c>
      <c r="G185" s="1">
        <v>2021</v>
      </c>
      <c r="H185" s="6" t="s">
        <v>583</v>
      </c>
      <c r="I185" s="6" t="s">
        <v>584</v>
      </c>
      <c r="J185" s="6" t="s">
        <v>585</v>
      </c>
      <c r="K185" s="1"/>
      <c r="L185" s="4">
        <f t="shared" si="13"/>
        <v>10298.81</v>
      </c>
      <c r="M185" s="4" t="s">
        <v>20</v>
      </c>
      <c r="N185" s="4">
        <f t="shared" si="10"/>
        <v>10986.82</v>
      </c>
      <c r="O185" s="4" t="s">
        <v>21</v>
      </c>
      <c r="P185" s="4">
        <f t="shared" si="11"/>
        <v>9697.51</v>
      </c>
      <c r="Q185" s="4" t="s">
        <v>22</v>
      </c>
      <c r="R185" s="4" t="str">
        <f t="shared" si="12"/>
        <v>10298.81(9697.51,10986.82)</v>
      </c>
      <c r="S185" s="4"/>
      <c r="T185" s="4"/>
      <c r="U185" s="4"/>
    </row>
    <row r="186" hidden="1" spans="1:21">
      <c r="A186" s="1" t="s">
        <v>502</v>
      </c>
      <c r="B186" s="1" t="s">
        <v>51</v>
      </c>
      <c r="C186" s="1" t="s">
        <v>13</v>
      </c>
      <c r="D186" s="1" t="s">
        <v>27</v>
      </c>
      <c r="E186" s="1" t="s">
        <v>15</v>
      </c>
      <c r="F186" s="1" t="s">
        <v>23</v>
      </c>
      <c r="G186" s="1">
        <v>1991</v>
      </c>
      <c r="H186" s="6" t="s">
        <v>586</v>
      </c>
      <c r="I186" s="6" t="s">
        <v>587</v>
      </c>
      <c r="J186" s="6" t="s">
        <v>588</v>
      </c>
      <c r="K186" s="1"/>
      <c r="L186" s="4">
        <f t="shared" si="13"/>
        <v>2848.07</v>
      </c>
      <c r="M186" s="4" t="s">
        <v>20</v>
      </c>
      <c r="N186" s="4">
        <f t="shared" si="10"/>
        <v>3096.83</v>
      </c>
      <c r="O186" s="4" t="s">
        <v>21</v>
      </c>
      <c r="P186" s="4">
        <f t="shared" si="11"/>
        <v>2633.81</v>
      </c>
      <c r="Q186" s="4" t="s">
        <v>22</v>
      </c>
      <c r="R186" s="4" t="str">
        <f t="shared" si="12"/>
        <v>2848.07(2633.81,3096.83)</v>
      </c>
      <c r="S186" s="4"/>
      <c r="T186" s="4"/>
      <c r="U186" s="4"/>
    </row>
    <row r="187" hidden="1" spans="1:21">
      <c r="A187" s="1" t="s">
        <v>502</v>
      </c>
      <c r="B187" s="1" t="s">
        <v>51</v>
      </c>
      <c r="C187" s="1" t="s">
        <v>13</v>
      </c>
      <c r="D187" s="1" t="s">
        <v>27</v>
      </c>
      <c r="E187" s="1" t="s">
        <v>15</v>
      </c>
      <c r="F187" s="1" t="s">
        <v>23</v>
      </c>
      <c r="G187" s="1">
        <v>2021</v>
      </c>
      <c r="H187" s="6" t="s">
        <v>589</v>
      </c>
      <c r="I187" s="6" t="s">
        <v>590</v>
      </c>
      <c r="J187" s="6" t="s">
        <v>591</v>
      </c>
      <c r="K187" s="1"/>
      <c r="L187" s="4">
        <f t="shared" si="13"/>
        <v>6228.98</v>
      </c>
      <c r="M187" s="4" t="s">
        <v>20</v>
      </c>
      <c r="N187" s="4">
        <f t="shared" si="10"/>
        <v>6639.81</v>
      </c>
      <c r="O187" s="4" t="s">
        <v>21</v>
      </c>
      <c r="P187" s="4">
        <f t="shared" si="11"/>
        <v>5834.47</v>
      </c>
      <c r="Q187" s="4" t="s">
        <v>22</v>
      </c>
      <c r="R187" s="4" t="str">
        <f t="shared" si="12"/>
        <v>6228.98(5834.47,6639.81)</v>
      </c>
      <c r="S187" s="4"/>
      <c r="T187" s="4"/>
      <c r="U187" s="4"/>
    </row>
    <row r="188" hidden="1" spans="1:21">
      <c r="A188" s="1" t="s">
        <v>502</v>
      </c>
      <c r="B188" s="1" t="s">
        <v>61</v>
      </c>
      <c r="C188" s="1" t="s">
        <v>13</v>
      </c>
      <c r="D188" s="1" t="s">
        <v>14</v>
      </c>
      <c r="E188" s="1" t="s">
        <v>15</v>
      </c>
      <c r="F188" s="1" t="s">
        <v>16</v>
      </c>
      <c r="G188" s="1">
        <v>1991</v>
      </c>
      <c r="H188" s="6" t="s">
        <v>592</v>
      </c>
      <c r="I188" s="6" t="s">
        <v>593</v>
      </c>
      <c r="J188" s="6" t="s">
        <v>594</v>
      </c>
      <c r="K188" s="1"/>
      <c r="L188" s="4">
        <f t="shared" si="13"/>
        <v>10856894.03</v>
      </c>
      <c r="M188" s="4" t="s">
        <v>20</v>
      </c>
      <c r="N188" s="4">
        <f t="shared" si="10"/>
        <v>11865830.77</v>
      </c>
      <c r="O188" s="4" t="s">
        <v>21</v>
      </c>
      <c r="P188" s="4">
        <f t="shared" si="11"/>
        <v>10004675.63</v>
      </c>
      <c r="Q188" s="4" t="s">
        <v>22</v>
      </c>
      <c r="R188" s="4" t="str">
        <f t="shared" si="12"/>
        <v>10856894.03(10004675.63,11865830.77)</v>
      </c>
      <c r="S188" s="4"/>
      <c r="T188" s="4"/>
      <c r="U188" s="4"/>
    </row>
    <row r="189" hidden="1" spans="1:21">
      <c r="A189" s="1" t="s">
        <v>502</v>
      </c>
      <c r="B189" s="1" t="s">
        <v>61</v>
      </c>
      <c r="C189" s="1" t="s">
        <v>13</v>
      </c>
      <c r="D189" s="1" t="s">
        <v>14</v>
      </c>
      <c r="E189" s="1" t="s">
        <v>15</v>
      </c>
      <c r="F189" s="1" t="s">
        <v>23</v>
      </c>
      <c r="G189" s="1">
        <v>1991</v>
      </c>
      <c r="H189" s="6" t="s">
        <v>595</v>
      </c>
      <c r="I189" s="6" t="s">
        <v>596</v>
      </c>
      <c r="J189" s="6" t="s">
        <v>597</v>
      </c>
      <c r="K189" s="1"/>
      <c r="L189" s="4">
        <f t="shared" si="13"/>
        <v>2571.69</v>
      </c>
      <c r="M189" s="4" t="s">
        <v>20</v>
      </c>
      <c r="N189" s="4">
        <f t="shared" si="10"/>
        <v>2810.68</v>
      </c>
      <c r="O189" s="4" t="s">
        <v>21</v>
      </c>
      <c r="P189" s="4">
        <f t="shared" si="11"/>
        <v>2369.83</v>
      </c>
      <c r="Q189" s="4" t="s">
        <v>22</v>
      </c>
      <c r="R189" s="4" t="str">
        <f t="shared" si="12"/>
        <v>2571.69(2369.83,2810.68)</v>
      </c>
      <c r="S189" s="4"/>
      <c r="T189" s="4"/>
      <c r="U189" s="4"/>
    </row>
    <row r="190" hidden="1" spans="1:21">
      <c r="A190" s="1" t="s">
        <v>502</v>
      </c>
      <c r="B190" s="1" t="s">
        <v>61</v>
      </c>
      <c r="C190" s="1" t="s">
        <v>13</v>
      </c>
      <c r="D190" s="1" t="s">
        <v>14</v>
      </c>
      <c r="E190" s="1" t="s">
        <v>15</v>
      </c>
      <c r="F190" s="1" t="s">
        <v>16</v>
      </c>
      <c r="G190" s="1">
        <v>2021</v>
      </c>
      <c r="H190" s="6" t="s">
        <v>598</v>
      </c>
      <c r="I190" s="6" t="s">
        <v>599</v>
      </c>
      <c r="J190" s="6" t="s">
        <v>600</v>
      </c>
      <c r="K190" s="1"/>
      <c r="L190" s="4">
        <f t="shared" si="13"/>
        <v>25963290.62</v>
      </c>
      <c r="M190" s="4" t="s">
        <v>20</v>
      </c>
      <c r="N190" s="4">
        <f t="shared" si="10"/>
        <v>28224144.2</v>
      </c>
      <c r="O190" s="4" t="s">
        <v>21</v>
      </c>
      <c r="P190" s="4">
        <f t="shared" si="11"/>
        <v>23906994.07</v>
      </c>
      <c r="Q190" s="4" t="s">
        <v>22</v>
      </c>
      <c r="R190" s="4" t="str">
        <f t="shared" si="12"/>
        <v>25963290.62(23906994.07,28224144.2)</v>
      </c>
      <c r="S190" s="4"/>
      <c r="T190" s="4"/>
      <c r="U190" s="4"/>
    </row>
    <row r="191" hidden="1" spans="1:21">
      <c r="A191" s="1" t="s">
        <v>502</v>
      </c>
      <c r="B191" s="1" t="s">
        <v>61</v>
      </c>
      <c r="C191" s="1" t="s">
        <v>13</v>
      </c>
      <c r="D191" s="1" t="s">
        <v>14</v>
      </c>
      <c r="E191" s="1" t="s">
        <v>15</v>
      </c>
      <c r="F191" s="1" t="s">
        <v>23</v>
      </c>
      <c r="G191" s="1">
        <v>2021</v>
      </c>
      <c r="H191" s="6" t="s">
        <v>601</v>
      </c>
      <c r="I191" s="6" t="s">
        <v>602</v>
      </c>
      <c r="J191" s="6" t="s">
        <v>603</v>
      </c>
      <c r="K191" s="1"/>
      <c r="L191" s="4">
        <f t="shared" si="13"/>
        <v>6213.81</v>
      </c>
      <c r="M191" s="4" t="s">
        <v>20</v>
      </c>
      <c r="N191" s="4">
        <f t="shared" si="10"/>
        <v>6754.9</v>
      </c>
      <c r="O191" s="4" t="s">
        <v>21</v>
      </c>
      <c r="P191" s="4">
        <f t="shared" si="11"/>
        <v>5721.68</v>
      </c>
      <c r="Q191" s="4" t="s">
        <v>22</v>
      </c>
      <c r="R191" s="4" t="str">
        <f t="shared" si="12"/>
        <v>6213.81(5721.68,6754.9)</v>
      </c>
      <c r="S191" s="4"/>
      <c r="T191" s="4"/>
      <c r="U191" s="4"/>
    </row>
    <row r="192" hidden="1" spans="1:21">
      <c r="A192" s="1" t="s">
        <v>502</v>
      </c>
      <c r="B192" s="1" t="s">
        <v>61</v>
      </c>
      <c r="C192" s="1" t="s">
        <v>13</v>
      </c>
      <c r="D192" s="1" t="s">
        <v>27</v>
      </c>
      <c r="E192" s="1" t="s">
        <v>15</v>
      </c>
      <c r="F192" s="1" t="s">
        <v>23</v>
      </c>
      <c r="G192" s="1">
        <v>1991</v>
      </c>
      <c r="H192" s="6" t="s">
        <v>604</v>
      </c>
      <c r="I192" s="6" t="s">
        <v>605</v>
      </c>
      <c r="J192" s="6" t="s">
        <v>606</v>
      </c>
      <c r="K192" s="1"/>
      <c r="L192" s="4">
        <f t="shared" si="13"/>
        <v>2278.92</v>
      </c>
      <c r="M192" s="4" t="s">
        <v>20</v>
      </c>
      <c r="N192" s="4">
        <f t="shared" si="10"/>
        <v>2487.19</v>
      </c>
      <c r="O192" s="4" t="s">
        <v>21</v>
      </c>
      <c r="P192" s="4">
        <f t="shared" si="11"/>
        <v>2100.15</v>
      </c>
      <c r="Q192" s="4" t="s">
        <v>22</v>
      </c>
      <c r="R192" s="4" t="str">
        <f t="shared" si="12"/>
        <v>2278.92(2100.15,2487.19)</v>
      </c>
      <c r="S192" s="4"/>
      <c r="T192" s="4"/>
      <c r="U192" s="4"/>
    </row>
    <row r="193" hidden="1" spans="1:21">
      <c r="A193" s="1" t="s">
        <v>502</v>
      </c>
      <c r="B193" s="1" t="s">
        <v>61</v>
      </c>
      <c r="C193" s="1" t="s">
        <v>13</v>
      </c>
      <c r="D193" s="1" t="s">
        <v>27</v>
      </c>
      <c r="E193" s="1" t="s">
        <v>15</v>
      </c>
      <c r="F193" s="1" t="s">
        <v>23</v>
      </c>
      <c r="G193" s="1">
        <v>2021</v>
      </c>
      <c r="H193" s="6" t="s">
        <v>607</v>
      </c>
      <c r="I193" s="6" t="s">
        <v>608</v>
      </c>
      <c r="J193" s="6" t="s">
        <v>609</v>
      </c>
      <c r="K193" s="1"/>
      <c r="L193" s="4">
        <f t="shared" si="13"/>
        <v>4254.57</v>
      </c>
      <c r="M193" s="4" t="s">
        <v>20</v>
      </c>
      <c r="N193" s="4">
        <f t="shared" si="10"/>
        <v>4625.18</v>
      </c>
      <c r="O193" s="4" t="s">
        <v>21</v>
      </c>
      <c r="P193" s="4">
        <f t="shared" si="11"/>
        <v>3912.28</v>
      </c>
      <c r="Q193" s="4" t="s">
        <v>22</v>
      </c>
      <c r="R193" s="4" t="str">
        <f t="shared" si="12"/>
        <v>4254.57(3912.28,4625.18)</v>
      </c>
      <c r="S193" s="4"/>
      <c r="T193" s="4"/>
      <c r="U193" s="4"/>
    </row>
    <row r="194" hidden="1" spans="1:21">
      <c r="A194" s="1" t="s">
        <v>502</v>
      </c>
      <c r="B194" s="1" t="s">
        <v>41</v>
      </c>
      <c r="C194" s="1" t="s">
        <v>13</v>
      </c>
      <c r="D194" s="1" t="s">
        <v>14</v>
      </c>
      <c r="E194" s="1" t="s">
        <v>15</v>
      </c>
      <c r="F194" s="1" t="s">
        <v>16</v>
      </c>
      <c r="G194" s="1">
        <v>1991</v>
      </c>
      <c r="H194" s="6" t="s">
        <v>610</v>
      </c>
      <c r="I194" s="6" t="s">
        <v>611</v>
      </c>
      <c r="J194" s="6" t="s">
        <v>612</v>
      </c>
      <c r="K194" s="1"/>
      <c r="L194" s="4">
        <f t="shared" si="13"/>
        <v>22153600.71</v>
      </c>
      <c r="M194" s="4" t="s">
        <v>20</v>
      </c>
      <c r="N194" s="4">
        <f t="shared" si="10"/>
        <v>24511791.73</v>
      </c>
      <c r="O194" s="4" t="s">
        <v>21</v>
      </c>
      <c r="P194" s="4">
        <f t="shared" si="11"/>
        <v>19897700.06</v>
      </c>
      <c r="Q194" s="4" t="s">
        <v>22</v>
      </c>
      <c r="R194" s="4" t="str">
        <f t="shared" si="12"/>
        <v>22153600.71(19897700.06,24511791.73)</v>
      </c>
      <c r="S194" s="4"/>
      <c r="T194" s="4"/>
      <c r="U194" s="4"/>
    </row>
    <row r="195" hidden="1" spans="1:21">
      <c r="A195" s="1" t="s">
        <v>502</v>
      </c>
      <c r="B195" s="1" t="s">
        <v>41</v>
      </c>
      <c r="C195" s="1" t="s">
        <v>13</v>
      </c>
      <c r="D195" s="1" t="s">
        <v>14</v>
      </c>
      <c r="E195" s="1" t="s">
        <v>15</v>
      </c>
      <c r="F195" s="1" t="s">
        <v>23</v>
      </c>
      <c r="G195" s="1">
        <v>1991</v>
      </c>
      <c r="H195" s="6" t="s">
        <v>613</v>
      </c>
      <c r="I195" s="6" t="s">
        <v>614</v>
      </c>
      <c r="J195" s="6" t="s">
        <v>615</v>
      </c>
      <c r="K195" s="1"/>
      <c r="L195" s="4">
        <f t="shared" si="13"/>
        <v>1987.85</v>
      </c>
      <c r="M195" s="4" t="s">
        <v>20</v>
      </c>
      <c r="N195" s="4">
        <f t="shared" ref="N195:N258" si="14">ROUND(I195,2)</f>
        <v>2199.45</v>
      </c>
      <c r="O195" s="4" t="s">
        <v>21</v>
      </c>
      <c r="P195" s="4">
        <f t="shared" ref="P195:P258" si="15">ROUND(J195,2)</f>
        <v>1785.43</v>
      </c>
      <c r="Q195" s="4" t="s">
        <v>22</v>
      </c>
      <c r="R195" s="4" t="str">
        <f t="shared" ref="R195:R258" si="16">L195&amp;M195&amp;P195&amp;O195&amp;N195&amp;Q195</f>
        <v>1987.85(1785.43,2199.45)</v>
      </c>
      <c r="S195" s="4"/>
      <c r="T195" s="4"/>
      <c r="U195" s="4"/>
    </row>
    <row r="196" hidden="1" spans="1:21">
      <c r="A196" s="1" t="s">
        <v>502</v>
      </c>
      <c r="B196" s="1" t="s">
        <v>41</v>
      </c>
      <c r="C196" s="1" t="s">
        <v>13</v>
      </c>
      <c r="D196" s="1" t="s">
        <v>14</v>
      </c>
      <c r="E196" s="1" t="s">
        <v>15</v>
      </c>
      <c r="F196" s="1" t="s">
        <v>16</v>
      </c>
      <c r="G196" s="1">
        <v>2021</v>
      </c>
      <c r="H196" s="6" t="s">
        <v>616</v>
      </c>
      <c r="I196" s="6" t="s">
        <v>617</v>
      </c>
      <c r="J196" s="6" t="s">
        <v>618</v>
      </c>
      <c r="K196" s="1"/>
      <c r="L196" s="4">
        <f t="shared" si="13"/>
        <v>98445161.4</v>
      </c>
      <c r="M196" s="4" t="s">
        <v>20</v>
      </c>
      <c r="N196" s="4">
        <f t="shared" si="14"/>
        <v>108080237.4</v>
      </c>
      <c r="O196" s="4" t="s">
        <v>21</v>
      </c>
      <c r="P196" s="4">
        <f t="shared" si="15"/>
        <v>89269721.5</v>
      </c>
      <c r="Q196" s="4" t="s">
        <v>22</v>
      </c>
      <c r="R196" s="4" t="str">
        <f t="shared" si="16"/>
        <v>98445161.4(89269721.5,108080237.4)</v>
      </c>
      <c r="S196" s="4"/>
      <c r="T196" s="4"/>
      <c r="U196" s="4"/>
    </row>
    <row r="197" hidden="1" spans="1:21">
      <c r="A197" s="1" t="s">
        <v>502</v>
      </c>
      <c r="B197" s="1" t="s">
        <v>41</v>
      </c>
      <c r="C197" s="1" t="s">
        <v>13</v>
      </c>
      <c r="D197" s="1" t="s">
        <v>14</v>
      </c>
      <c r="E197" s="1" t="s">
        <v>15</v>
      </c>
      <c r="F197" s="1" t="s">
        <v>23</v>
      </c>
      <c r="G197" s="1">
        <v>2021</v>
      </c>
      <c r="H197" s="6" t="s">
        <v>619</v>
      </c>
      <c r="I197" s="6" t="s">
        <v>620</v>
      </c>
      <c r="J197" s="6" t="s">
        <v>621</v>
      </c>
      <c r="K197" s="1"/>
      <c r="L197" s="4">
        <f t="shared" si="13"/>
        <v>5331.24</v>
      </c>
      <c r="M197" s="4" t="s">
        <v>20</v>
      </c>
      <c r="N197" s="4">
        <f t="shared" si="14"/>
        <v>5853.02</v>
      </c>
      <c r="O197" s="4" t="s">
        <v>21</v>
      </c>
      <c r="P197" s="4">
        <f t="shared" si="15"/>
        <v>4834.35</v>
      </c>
      <c r="Q197" s="4" t="s">
        <v>22</v>
      </c>
      <c r="R197" s="4" t="str">
        <f t="shared" si="16"/>
        <v>5331.24(4834.35,5853.02)</v>
      </c>
      <c r="S197" s="4"/>
      <c r="T197" s="4"/>
      <c r="U197" s="4"/>
    </row>
    <row r="198" hidden="1" spans="1:21">
      <c r="A198" s="1" t="s">
        <v>502</v>
      </c>
      <c r="B198" s="1" t="s">
        <v>41</v>
      </c>
      <c r="C198" s="1" t="s">
        <v>13</v>
      </c>
      <c r="D198" s="1" t="s">
        <v>27</v>
      </c>
      <c r="E198" s="1" t="s">
        <v>15</v>
      </c>
      <c r="F198" s="1" t="s">
        <v>23</v>
      </c>
      <c r="G198" s="1">
        <v>1991</v>
      </c>
      <c r="H198" s="6" t="s">
        <v>622</v>
      </c>
      <c r="I198" s="6" t="s">
        <v>623</v>
      </c>
      <c r="J198" s="6" t="s">
        <v>624</v>
      </c>
      <c r="K198" s="1"/>
      <c r="L198" s="4">
        <f t="shared" si="13"/>
        <v>3064.78</v>
      </c>
      <c r="M198" s="4" t="s">
        <v>20</v>
      </c>
      <c r="N198" s="4">
        <f t="shared" si="14"/>
        <v>3382.03</v>
      </c>
      <c r="O198" s="4" t="s">
        <v>21</v>
      </c>
      <c r="P198" s="4">
        <f t="shared" si="15"/>
        <v>2768.09</v>
      </c>
      <c r="Q198" s="4" t="s">
        <v>22</v>
      </c>
      <c r="R198" s="4" t="str">
        <f t="shared" si="16"/>
        <v>3064.78(2768.09,3382.03)</v>
      </c>
      <c r="S198" s="4"/>
      <c r="T198" s="4"/>
      <c r="U198" s="4"/>
    </row>
    <row r="199" hidden="1" spans="1:21">
      <c r="A199" s="1" t="s">
        <v>502</v>
      </c>
      <c r="B199" s="1" t="s">
        <v>41</v>
      </c>
      <c r="C199" s="1" t="s">
        <v>13</v>
      </c>
      <c r="D199" s="1" t="s">
        <v>27</v>
      </c>
      <c r="E199" s="1" t="s">
        <v>15</v>
      </c>
      <c r="F199" s="1" t="s">
        <v>23</v>
      </c>
      <c r="G199" s="1">
        <v>2021</v>
      </c>
      <c r="H199" s="6" t="s">
        <v>625</v>
      </c>
      <c r="I199" s="6" t="s">
        <v>626</v>
      </c>
      <c r="J199" s="6" t="s">
        <v>627</v>
      </c>
      <c r="K199" s="1"/>
      <c r="L199" s="4">
        <f t="shared" si="13"/>
        <v>5863.39</v>
      </c>
      <c r="M199" s="4" t="s">
        <v>20</v>
      </c>
      <c r="N199" s="4">
        <f t="shared" si="14"/>
        <v>6426.82</v>
      </c>
      <c r="O199" s="4" t="s">
        <v>21</v>
      </c>
      <c r="P199" s="4">
        <f t="shared" si="15"/>
        <v>5320.13</v>
      </c>
      <c r="Q199" s="4" t="s">
        <v>22</v>
      </c>
      <c r="R199" s="4" t="str">
        <f t="shared" si="16"/>
        <v>5863.39(5320.13,6426.82)</v>
      </c>
      <c r="S199" s="4"/>
      <c r="T199" s="4"/>
      <c r="U199" s="4"/>
    </row>
    <row r="200" hidden="1" spans="1:21">
      <c r="A200" s="1" t="s">
        <v>502</v>
      </c>
      <c r="B200" s="1" t="s">
        <v>110</v>
      </c>
      <c r="C200" s="1" t="s">
        <v>13</v>
      </c>
      <c r="D200" s="1" t="s">
        <v>14</v>
      </c>
      <c r="E200" s="1" t="s">
        <v>15</v>
      </c>
      <c r="F200" s="1" t="s">
        <v>16</v>
      </c>
      <c r="G200" s="1">
        <v>1991</v>
      </c>
      <c r="H200" s="6" t="s">
        <v>628</v>
      </c>
      <c r="I200" s="6" t="s">
        <v>629</v>
      </c>
      <c r="J200" s="6" t="s">
        <v>630</v>
      </c>
      <c r="K200" s="1"/>
      <c r="L200" s="4">
        <f t="shared" si="13"/>
        <v>5563721.16</v>
      </c>
      <c r="M200" s="4" t="s">
        <v>20</v>
      </c>
      <c r="N200" s="4">
        <f t="shared" si="14"/>
        <v>6090887.47</v>
      </c>
      <c r="O200" s="4" t="s">
        <v>21</v>
      </c>
      <c r="P200" s="4">
        <f t="shared" si="15"/>
        <v>5055418.22</v>
      </c>
      <c r="Q200" s="4" t="s">
        <v>22</v>
      </c>
      <c r="R200" s="4" t="str">
        <f t="shared" si="16"/>
        <v>5563721.16(5055418.22,6090887.47)</v>
      </c>
      <c r="S200" s="4"/>
      <c r="T200" s="4"/>
      <c r="U200" s="4"/>
    </row>
    <row r="201" hidden="1" spans="1:21">
      <c r="A201" s="1" t="s">
        <v>502</v>
      </c>
      <c r="B201" s="1" t="s">
        <v>110</v>
      </c>
      <c r="C201" s="1" t="s">
        <v>13</v>
      </c>
      <c r="D201" s="1" t="s">
        <v>14</v>
      </c>
      <c r="E201" s="1" t="s">
        <v>15</v>
      </c>
      <c r="F201" s="1" t="s">
        <v>23</v>
      </c>
      <c r="G201" s="1">
        <v>1991</v>
      </c>
      <c r="H201" s="6" t="s">
        <v>631</v>
      </c>
      <c r="I201" s="6" t="s">
        <v>632</v>
      </c>
      <c r="J201" s="6" t="s">
        <v>633</v>
      </c>
      <c r="K201" s="1"/>
      <c r="L201" s="4">
        <f t="shared" si="13"/>
        <v>1102.02</v>
      </c>
      <c r="M201" s="4" t="s">
        <v>20</v>
      </c>
      <c r="N201" s="4">
        <f t="shared" si="14"/>
        <v>1206.44</v>
      </c>
      <c r="O201" s="4" t="s">
        <v>21</v>
      </c>
      <c r="P201" s="4">
        <f t="shared" si="15"/>
        <v>1001.34</v>
      </c>
      <c r="Q201" s="4" t="s">
        <v>22</v>
      </c>
      <c r="R201" s="4" t="str">
        <f t="shared" si="16"/>
        <v>1102.02(1001.34,1206.44)</v>
      </c>
      <c r="S201" s="4"/>
      <c r="T201" s="4"/>
      <c r="U201" s="4"/>
    </row>
    <row r="202" hidden="1" spans="1:21">
      <c r="A202" s="1" t="s">
        <v>502</v>
      </c>
      <c r="B202" s="1" t="s">
        <v>110</v>
      </c>
      <c r="C202" s="1" t="s">
        <v>13</v>
      </c>
      <c r="D202" s="1" t="s">
        <v>14</v>
      </c>
      <c r="E202" s="1" t="s">
        <v>15</v>
      </c>
      <c r="F202" s="1" t="s">
        <v>16</v>
      </c>
      <c r="G202" s="1">
        <v>2021</v>
      </c>
      <c r="H202" s="6" t="s">
        <v>634</v>
      </c>
      <c r="I202" s="6" t="s">
        <v>635</v>
      </c>
      <c r="J202" s="6" t="s">
        <v>636</v>
      </c>
      <c r="K202" s="1"/>
      <c r="L202" s="4">
        <f t="shared" si="13"/>
        <v>24702115.5</v>
      </c>
      <c r="M202" s="4" t="s">
        <v>20</v>
      </c>
      <c r="N202" s="4">
        <f t="shared" si="14"/>
        <v>26782029.37</v>
      </c>
      <c r="O202" s="4" t="s">
        <v>21</v>
      </c>
      <c r="P202" s="4">
        <f t="shared" si="15"/>
        <v>22683734.93</v>
      </c>
      <c r="Q202" s="4" t="s">
        <v>22</v>
      </c>
      <c r="R202" s="4" t="str">
        <f t="shared" si="16"/>
        <v>24702115.5(22683734.93,26782029.37)</v>
      </c>
      <c r="S202" s="4"/>
      <c r="T202" s="4"/>
      <c r="U202" s="4"/>
    </row>
    <row r="203" hidden="1" spans="1:21">
      <c r="A203" s="1" t="s">
        <v>502</v>
      </c>
      <c r="B203" s="1" t="s">
        <v>110</v>
      </c>
      <c r="C203" s="1" t="s">
        <v>13</v>
      </c>
      <c r="D203" s="1" t="s">
        <v>14</v>
      </c>
      <c r="E203" s="1" t="s">
        <v>15</v>
      </c>
      <c r="F203" s="1" t="s">
        <v>23</v>
      </c>
      <c r="G203" s="1">
        <v>2021</v>
      </c>
      <c r="H203" s="6" t="s">
        <v>637</v>
      </c>
      <c r="I203" s="6" t="s">
        <v>638</v>
      </c>
      <c r="J203" s="6" t="s">
        <v>639</v>
      </c>
      <c r="K203" s="1"/>
      <c r="L203" s="4">
        <f t="shared" si="13"/>
        <v>2179.94</v>
      </c>
      <c r="M203" s="4" t="s">
        <v>20</v>
      </c>
      <c r="N203" s="4">
        <f t="shared" si="14"/>
        <v>2363.49</v>
      </c>
      <c r="O203" s="4" t="s">
        <v>21</v>
      </c>
      <c r="P203" s="4">
        <f t="shared" si="15"/>
        <v>2001.82</v>
      </c>
      <c r="Q203" s="4" t="s">
        <v>22</v>
      </c>
      <c r="R203" s="4" t="str">
        <f t="shared" si="16"/>
        <v>2179.94(2001.82,2363.49)</v>
      </c>
      <c r="S203" s="4"/>
      <c r="T203" s="4"/>
      <c r="U203" s="4"/>
    </row>
    <row r="204" hidden="1" spans="1:21">
      <c r="A204" s="1" t="s">
        <v>502</v>
      </c>
      <c r="B204" s="1" t="s">
        <v>110</v>
      </c>
      <c r="C204" s="1" t="s">
        <v>13</v>
      </c>
      <c r="D204" s="1" t="s">
        <v>27</v>
      </c>
      <c r="E204" s="1" t="s">
        <v>15</v>
      </c>
      <c r="F204" s="1" t="s">
        <v>23</v>
      </c>
      <c r="G204" s="1">
        <v>1991</v>
      </c>
      <c r="H204" s="6" t="s">
        <v>640</v>
      </c>
      <c r="I204" s="6" t="s">
        <v>641</v>
      </c>
      <c r="J204" s="6" t="s">
        <v>642</v>
      </c>
      <c r="K204" s="1"/>
      <c r="L204" s="4">
        <f t="shared" si="13"/>
        <v>2184.43</v>
      </c>
      <c r="M204" s="4" t="s">
        <v>20</v>
      </c>
      <c r="N204" s="4">
        <f t="shared" si="14"/>
        <v>2383.48</v>
      </c>
      <c r="O204" s="4" t="s">
        <v>21</v>
      </c>
      <c r="P204" s="4">
        <f t="shared" si="15"/>
        <v>1997.22</v>
      </c>
      <c r="Q204" s="4" t="s">
        <v>22</v>
      </c>
      <c r="R204" s="4" t="str">
        <f t="shared" si="16"/>
        <v>2184.43(1997.22,2383.48)</v>
      </c>
      <c r="S204" s="4"/>
      <c r="T204" s="4"/>
      <c r="U204" s="4"/>
    </row>
    <row r="205" hidden="1" spans="1:21">
      <c r="A205" s="1" t="s">
        <v>502</v>
      </c>
      <c r="B205" s="1" t="s">
        <v>110</v>
      </c>
      <c r="C205" s="1" t="s">
        <v>13</v>
      </c>
      <c r="D205" s="1" t="s">
        <v>27</v>
      </c>
      <c r="E205" s="1" t="s">
        <v>15</v>
      </c>
      <c r="F205" s="1" t="s">
        <v>23</v>
      </c>
      <c r="G205" s="1">
        <v>2021</v>
      </c>
      <c r="H205" s="6" t="s">
        <v>643</v>
      </c>
      <c r="I205" s="6" t="s">
        <v>644</v>
      </c>
      <c r="J205" s="6" t="s">
        <v>645</v>
      </c>
      <c r="K205" s="1"/>
      <c r="L205" s="4">
        <f t="shared" si="13"/>
        <v>4054.76</v>
      </c>
      <c r="M205" s="4" t="s">
        <v>20</v>
      </c>
      <c r="N205" s="4">
        <f t="shared" si="14"/>
        <v>4389.31</v>
      </c>
      <c r="O205" s="4" t="s">
        <v>21</v>
      </c>
      <c r="P205" s="4">
        <f t="shared" si="15"/>
        <v>3745.77</v>
      </c>
      <c r="Q205" s="4" t="s">
        <v>22</v>
      </c>
      <c r="R205" s="4" t="str">
        <f t="shared" si="16"/>
        <v>4054.76(3745.77,4389.31)</v>
      </c>
      <c r="S205" s="4"/>
      <c r="T205" s="4"/>
      <c r="U205" s="4"/>
    </row>
    <row r="206" hidden="1" spans="1:21">
      <c r="A206" s="1" t="s">
        <v>502</v>
      </c>
      <c r="B206" s="1" t="s">
        <v>31</v>
      </c>
      <c r="C206" s="1" t="s">
        <v>13</v>
      </c>
      <c r="D206" s="1" t="s">
        <v>14</v>
      </c>
      <c r="E206" s="1" t="s">
        <v>15</v>
      </c>
      <c r="F206" s="1" t="s">
        <v>16</v>
      </c>
      <c r="G206" s="1">
        <v>1991</v>
      </c>
      <c r="H206" s="6" t="s">
        <v>646</v>
      </c>
      <c r="I206" s="6" t="s">
        <v>647</v>
      </c>
      <c r="J206" s="6" t="s">
        <v>648</v>
      </c>
      <c r="K206" s="1"/>
      <c r="L206" s="4">
        <f t="shared" si="13"/>
        <v>7012817.14</v>
      </c>
      <c r="M206" s="4" t="s">
        <v>20</v>
      </c>
      <c r="N206" s="4">
        <f t="shared" si="14"/>
        <v>7671973.89</v>
      </c>
      <c r="O206" s="4" t="s">
        <v>21</v>
      </c>
      <c r="P206" s="4">
        <f t="shared" si="15"/>
        <v>6389138.82</v>
      </c>
      <c r="Q206" s="4" t="s">
        <v>22</v>
      </c>
      <c r="R206" s="4" t="str">
        <f t="shared" si="16"/>
        <v>7012817.14(6389138.82,7671973.89)</v>
      </c>
      <c r="S206" s="4"/>
      <c r="T206" s="4"/>
      <c r="U206" s="4"/>
    </row>
    <row r="207" hidden="1" spans="1:21">
      <c r="A207" s="1" t="s">
        <v>502</v>
      </c>
      <c r="B207" s="1" t="s">
        <v>31</v>
      </c>
      <c r="C207" s="1" t="s">
        <v>13</v>
      </c>
      <c r="D207" s="1" t="s">
        <v>14</v>
      </c>
      <c r="E207" s="1" t="s">
        <v>15</v>
      </c>
      <c r="F207" s="1" t="s">
        <v>23</v>
      </c>
      <c r="G207" s="1">
        <v>1991</v>
      </c>
      <c r="H207" s="6" t="s">
        <v>649</v>
      </c>
      <c r="I207" s="6" t="s">
        <v>650</v>
      </c>
      <c r="J207" s="6" t="s">
        <v>651</v>
      </c>
      <c r="K207" s="1"/>
      <c r="L207" s="4">
        <f t="shared" si="13"/>
        <v>1366.18</v>
      </c>
      <c r="M207" s="4" t="s">
        <v>20</v>
      </c>
      <c r="N207" s="4">
        <f t="shared" si="14"/>
        <v>1494.59</v>
      </c>
      <c r="O207" s="4" t="s">
        <v>21</v>
      </c>
      <c r="P207" s="4">
        <f t="shared" si="15"/>
        <v>1244.68</v>
      </c>
      <c r="Q207" s="4" t="s">
        <v>22</v>
      </c>
      <c r="R207" s="4" t="str">
        <f t="shared" si="16"/>
        <v>1366.18(1244.68,1494.59)</v>
      </c>
      <c r="S207" s="4"/>
      <c r="T207" s="4"/>
      <c r="U207" s="4"/>
    </row>
    <row r="208" hidden="1" spans="1:21">
      <c r="A208" s="1" t="s">
        <v>502</v>
      </c>
      <c r="B208" s="1" t="s">
        <v>31</v>
      </c>
      <c r="C208" s="1" t="s">
        <v>13</v>
      </c>
      <c r="D208" s="1" t="s">
        <v>14</v>
      </c>
      <c r="E208" s="1" t="s">
        <v>15</v>
      </c>
      <c r="F208" s="1" t="s">
        <v>16</v>
      </c>
      <c r="G208" s="1">
        <v>2021</v>
      </c>
      <c r="H208" s="6" t="s">
        <v>652</v>
      </c>
      <c r="I208" s="6" t="s">
        <v>653</v>
      </c>
      <c r="J208" s="6" t="s">
        <v>654</v>
      </c>
      <c r="K208" s="1"/>
      <c r="L208" s="4">
        <f t="shared" si="13"/>
        <v>30962878.92</v>
      </c>
      <c r="M208" s="4" t="s">
        <v>20</v>
      </c>
      <c r="N208" s="4">
        <f t="shared" si="14"/>
        <v>33571109.13</v>
      </c>
      <c r="O208" s="4" t="s">
        <v>21</v>
      </c>
      <c r="P208" s="4">
        <f t="shared" si="15"/>
        <v>28466753.2</v>
      </c>
      <c r="Q208" s="4" t="s">
        <v>22</v>
      </c>
      <c r="R208" s="4" t="str">
        <f t="shared" si="16"/>
        <v>30962878.92(28466753.2,33571109.13)</v>
      </c>
      <c r="S208" s="4"/>
      <c r="T208" s="4"/>
      <c r="U208" s="4"/>
    </row>
    <row r="209" hidden="1" spans="1:21">
      <c r="A209" s="1" t="s">
        <v>502</v>
      </c>
      <c r="B209" s="1" t="s">
        <v>31</v>
      </c>
      <c r="C209" s="1" t="s">
        <v>13</v>
      </c>
      <c r="D209" s="1" t="s">
        <v>14</v>
      </c>
      <c r="E209" s="1" t="s">
        <v>15</v>
      </c>
      <c r="F209" s="1" t="s">
        <v>23</v>
      </c>
      <c r="G209" s="1">
        <v>2021</v>
      </c>
      <c r="H209" s="6" t="s">
        <v>655</v>
      </c>
      <c r="I209" s="6" t="s">
        <v>656</v>
      </c>
      <c r="J209" s="6" t="s">
        <v>657</v>
      </c>
      <c r="K209" s="1"/>
      <c r="L209" s="4">
        <f t="shared" si="13"/>
        <v>2771.02</v>
      </c>
      <c r="M209" s="4" t="s">
        <v>20</v>
      </c>
      <c r="N209" s="4">
        <f t="shared" si="14"/>
        <v>3004.44</v>
      </c>
      <c r="O209" s="4" t="s">
        <v>21</v>
      </c>
      <c r="P209" s="4">
        <f t="shared" si="15"/>
        <v>2547.63</v>
      </c>
      <c r="Q209" s="4" t="s">
        <v>22</v>
      </c>
      <c r="R209" s="4" t="str">
        <f t="shared" si="16"/>
        <v>2771.02(2547.63,3004.44)</v>
      </c>
      <c r="S209" s="4"/>
      <c r="T209" s="4"/>
      <c r="U209" s="4"/>
    </row>
    <row r="210" hidden="1" spans="1:21">
      <c r="A210" s="1" t="s">
        <v>502</v>
      </c>
      <c r="B210" s="1" t="s">
        <v>31</v>
      </c>
      <c r="C210" s="1" t="s">
        <v>13</v>
      </c>
      <c r="D210" s="1" t="s">
        <v>27</v>
      </c>
      <c r="E210" s="1" t="s">
        <v>15</v>
      </c>
      <c r="F210" s="1" t="s">
        <v>23</v>
      </c>
      <c r="G210" s="1">
        <v>1991</v>
      </c>
      <c r="H210" s="6" t="s">
        <v>658</v>
      </c>
      <c r="I210" s="6" t="s">
        <v>659</v>
      </c>
      <c r="J210" s="6" t="s">
        <v>660</v>
      </c>
      <c r="K210" s="1"/>
      <c r="L210" s="4">
        <f t="shared" si="13"/>
        <v>2554.42</v>
      </c>
      <c r="M210" s="4" t="s">
        <v>20</v>
      </c>
      <c r="N210" s="4">
        <f t="shared" si="14"/>
        <v>2789.63</v>
      </c>
      <c r="O210" s="4" t="s">
        <v>21</v>
      </c>
      <c r="P210" s="4">
        <f t="shared" si="15"/>
        <v>2333.93</v>
      </c>
      <c r="Q210" s="4" t="s">
        <v>22</v>
      </c>
      <c r="R210" s="4" t="str">
        <f t="shared" si="16"/>
        <v>2554.42(2333.93,2789.63)</v>
      </c>
      <c r="S210" s="4"/>
      <c r="T210" s="4"/>
      <c r="U210" s="4"/>
    </row>
    <row r="211" hidden="1" spans="1:21">
      <c r="A211" s="1" t="s">
        <v>502</v>
      </c>
      <c r="B211" s="1" t="s">
        <v>31</v>
      </c>
      <c r="C211" s="1" t="s">
        <v>13</v>
      </c>
      <c r="D211" s="1" t="s">
        <v>27</v>
      </c>
      <c r="E211" s="1" t="s">
        <v>15</v>
      </c>
      <c r="F211" s="1" t="s">
        <v>23</v>
      </c>
      <c r="G211" s="1">
        <v>2021</v>
      </c>
      <c r="H211" s="6" t="s">
        <v>661</v>
      </c>
      <c r="I211" s="6" t="s">
        <v>662</v>
      </c>
      <c r="J211" s="6" t="s">
        <v>663</v>
      </c>
      <c r="K211" s="1"/>
      <c r="L211" s="4">
        <f t="shared" si="13"/>
        <v>4750.71</v>
      </c>
      <c r="M211" s="4" t="s">
        <v>20</v>
      </c>
      <c r="N211" s="4">
        <f t="shared" si="14"/>
        <v>5151.12</v>
      </c>
      <c r="O211" s="4" t="s">
        <v>21</v>
      </c>
      <c r="P211" s="4">
        <f t="shared" si="15"/>
        <v>4367.52</v>
      </c>
      <c r="Q211" s="4" t="s">
        <v>22</v>
      </c>
      <c r="R211" s="4" t="str">
        <f t="shared" si="16"/>
        <v>4750.71(4367.52,5151.12)</v>
      </c>
      <c r="S211" s="4"/>
      <c r="T211" s="4"/>
      <c r="U211" s="4"/>
    </row>
    <row r="212" hidden="1" spans="1:21">
      <c r="A212" s="1" t="s">
        <v>502</v>
      </c>
      <c r="B212" s="1" t="s">
        <v>130</v>
      </c>
      <c r="C212" s="1" t="s">
        <v>13</v>
      </c>
      <c r="D212" s="1" t="s">
        <v>14</v>
      </c>
      <c r="E212" s="1" t="s">
        <v>15</v>
      </c>
      <c r="F212" s="1" t="s">
        <v>16</v>
      </c>
      <c r="G212" s="1">
        <v>1991</v>
      </c>
      <c r="H212" s="6" t="s">
        <v>664</v>
      </c>
      <c r="I212" s="6" t="s">
        <v>665</v>
      </c>
      <c r="J212" s="6" t="s">
        <v>666</v>
      </c>
      <c r="K212" s="1"/>
      <c r="L212" s="4">
        <f t="shared" si="13"/>
        <v>21431865.5</v>
      </c>
      <c r="M212" s="4" t="s">
        <v>20</v>
      </c>
      <c r="N212" s="4">
        <f t="shared" si="14"/>
        <v>23414528.99</v>
      </c>
      <c r="O212" s="4" t="s">
        <v>21</v>
      </c>
      <c r="P212" s="4">
        <f t="shared" si="15"/>
        <v>19487281.23</v>
      </c>
      <c r="Q212" s="4" t="s">
        <v>22</v>
      </c>
      <c r="R212" s="4" t="str">
        <f t="shared" si="16"/>
        <v>21431865.5(19487281.23,23414528.99)</v>
      </c>
      <c r="S212" s="4"/>
      <c r="T212" s="4"/>
      <c r="U212" s="4"/>
    </row>
    <row r="213" hidden="1" spans="1:21">
      <c r="A213" s="1" t="s">
        <v>502</v>
      </c>
      <c r="B213" s="1" t="s">
        <v>130</v>
      </c>
      <c r="C213" s="1" t="s">
        <v>13</v>
      </c>
      <c r="D213" s="1" t="s">
        <v>14</v>
      </c>
      <c r="E213" s="1" t="s">
        <v>15</v>
      </c>
      <c r="F213" s="1" t="s">
        <v>23</v>
      </c>
      <c r="G213" s="1">
        <v>1991</v>
      </c>
      <c r="H213" s="6" t="s">
        <v>667</v>
      </c>
      <c r="I213" s="6" t="s">
        <v>668</v>
      </c>
      <c r="J213" s="6" t="s">
        <v>669</v>
      </c>
      <c r="K213" s="1"/>
      <c r="L213" s="4">
        <f t="shared" si="13"/>
        <v>1810.78</v>
      </c>
      <c r="M213" s="4" t="s">
        <v>20</v>
      </c>
      <c r="N213" s="4">
        <f t="shared" si="14"/>
        <v>1978.29</v>
      </c>
      <c r="O213" s="4" t="s">
        <v>21</v>
      </c>
      <c r="P213" s="4">
        <f t="shared" si="15"/>
        <v>1646.48</v>
      </c>
      <c r="Q213" s="4" t="s">
        <v>22</v>
      </c>
      <c r="R213" s="4" t="str">
        <f t="shared" si="16"/>
        <v>1810.78(1646.48,1978.29)</v>
      </c>
      <c r="S213" s="4"/>
      <c r="T213" s="4"/>
      <c r="U213" s="4"/>
    </row>
    <row r="214" hidden="1" spans="1:21">
      <c r="A214" s="1" t="s">
        <v>502</v>
      </c>
      <c r="B214" s="1" t="s">
        <v>130</v>
      </c>
      <c r="C214" s="1" t="s">
        <v>13</v>
      </c>
      <c r="D214" s="1" t="s">
        <v>14</v>
      </c>
      <c r="E214" s="1" t="s">
        <v>15</v>
      </c>
      <c r="F214" s="1" t="s">
        <v>16</v>
      </c>
      <c r="G214" s="1">
        <v>2021</v>
      </c>
      <c r="H214" s="6" t="s">
        <v>670</v>
      </c>
      <c r="I214" s="6" t="s">
        <v>671</v>
      </c>
      <c r="J214" s="6" t="s">
        <v>672</v>
      </c>
      <c r="K214" s="1"/>
      <c r="L214" s="4">
        <f t="shared" si="13"/>
        <v>97058523.04</v>
      </c>
      <c r="M214" s="4" t="s">
        <v>20</v>
      </c>
      <c r="N214" s="4">
        <f t="shared" si="14"/>
        <v>104853564.21</v>
      </c>
      <c r="O214" s="4" t="s">
        <v>21</v>
      </c>
      <c r="P214" s="4">
        <f t="shared" si="15"/>
        <v>89154782.94</v>
      </c>
      <c r="Q214" s="4" t="s">
        <v>22</v>
      </c>
      <c r="R214" s="4" t="str">
        <f t="shared" si="16"/>
        <v>97058523.04(89154782.94,104853564.21)</v>
      </c>
      <c r="S214" s="4"/>
      <c r="T214" s="4"/>
      <c r="U214" s="4"/>
    </row>
    <row r="215" hidden="1" spans="1:21">
      <c r="A215" s="1" t="s">
        <v>502</v>
      </c>
      <c r="B215" s="1" t="s">
        <v>130</v>
      </c>
      <c r="C215" s="1" t="s">
        <v>13</v>
      </c>
      <c r="D215" s="1" t="s">
        <v>14</v>
      </c>
      <c r="E215" s="1" t="s">
        <v>15</v>
      </c>
      <c r="F215" s="1" t="s">
        <v>23</v>
      </c>
      <c r="G215" s="1">
        <v>2021</v>
      </c>
      <c r="H215" s="6" t="s">
        <v>673</v>
      </c>
      <c r="I215" s="6" t="s">
        <v>674</v>
      </c>
      <c r="J215" s="6" t="s">
        <v>675</v>
      </c>
      <c r="K215" s="1"/>
      <c r="L215" s="4">
        <f t="shared" si="13"/>
        <v>5052.2</v>
      </c>
      <c r="M215" s="4" t="s">
        <v>20</v>
      </c>
      <c r="N215" s="4">
        <f t="shared" si="14"/>
        <v>5457.96</v>
      </c>
      <c r="O215" s="4" t="s">
        <v>21</v>
      </c>
      <c r="P215" s="4">
        <f t="shared" si="15"/>
        <v>4640.79</v>
      </c>
      <c r="Q215" s="4" t="s">
        <v>22</v>
      </c>
      <c r="R215" s="4" t="str">
        <f t="shared" si="16"/>
        <v>5052.2(4640.79,5457.96)</v>
      </c>
      <c r="S215" s="4"/>
      <c r="T215" s="4"/>
      <c r="U215" s="4"/>
    </row>
    <row r="216" hidden="1" spans="1:21">
      <c r="A216" s="1" t="s">
        <v>502</v>
      </c>
      <c r="B216" s="1" t="s">
        <v>130</v>
      </c>
      <c r="C216" s="1" t="s">
        <v>13</v>
      </c>
      <c r="D216" s="1" t="s">
        <v>27</v>
      </c>
      <c r="E216" s="1" t="s">
        <v>15</v>
      </c>
      <c r="F216" s="1" t="s">
        <v>23</v>
      </c>
      <c r="G216" s="1">
        <v>1991</v>
      </c>
      <c r="H216" s="6" t="s">
        <v>676</v>
      </c>
      <c r="I216" s="6" t="s">
        <v>677</v>
      </c>
      <c r="J216" s="6" t="s">
        <v>678</v>
      </c>
      <c r="K216" s="1"/>
      <c r="L216" s="4">
        <f t="shared" si="13"/>
        <v>2914.47</v>
      </c>
      <c r="M216" s="4" t="s">
        <v>20</v>
      </c>
      <c r="N216" s="4">
        <f t="shared" si="14"/>
        <v>3184.67</v>
      </c>
      <c r="O216" s="4" t="s">
        <v>21</v>
      </c>
      <c r="P216" s="4">
        <f t="shared" si="15"/>
        <v>2657.43</v>
      </c>
      <c r="Q216" s="4" t="s">
        <v>22</v>
      </c>
      <c r="R216" s="4" t="str">
        <f t="shared" si="16"/>
        <v>2914.47(2657.43,3184.67)</v>
      </c>
      <c r="S216" s="4"/>
      <c r="T216" s="4"/>
      <c r="U216" s="4"/>
    </row>
    <row r="217" hidden="1" spans="1:21">
      <c r="A217" s="1" t="s">
        <v>502</v>
      </c>
      <c r="B217" s="1" t="s">
        <v>130</v>
      </c>
      <c r="C217" s="1" t="s">
        <v>13</v>
      </c>
      <c r="D217" s="1" t="s">
        <v>27</v>
      </c>
      <c r="E217" s="1" t="s">
        <v>15</v>
      </c>
      <c r="F217" s="1" t="s">
        <v>23</v>
      </c>
      <c r="G217" s="1">
        <v>2021</v>
      </c>
      <c r="H217" s="6" t="s">
        <v>679</v>
      </c>
      <c r="I217" s="6" t="s">
        <v>680</v>
      </c>
      <c r="J217" s="6" t="s">
        <v>681</v>
      </c>
      <c r="K217" s="1"/>
      <c r="L217" s="4">
        <f t="shared" si="13"/>
        <v>5984.71</v>
      </c>
      <c r="M217" s="4" t="s">
        <v>20</v>
      </c>
      <c r="N217" s="4">
        <f t="shared" si="14"/>
        <v>6477.63</v>
      </c>
      <c r="O217" s="4" t="s">
        <v>21</v>
      </c>
      <c r="P217" s="4">
        <f t="shared" si="15"/>
        <v>5504.2</v>
      </c>
      <c r="Q217" s="4" t="s">
        <v>22</v>
      </c>
      <c r="R217" s="4" t="str">
        <f t="shared" si="16"/>
        <v>5984.71(5504.2,6477.63)</v>
      </c>
      <c r="S217" s="4"/>
      <c r="T217" s="4"/>
      <c r="U217" s="4"/>
    </row>
    <row r="218" hidden="1" spans="1:21">
      <c r="A218" s="1" t="s">
        <v>502</v>
      </c>
      <c r="B218" s="1" t="s">
        <v>12</v>
      </c>
      <c r="C218" s="1" t="s">
        <v>13</v>
      </c>
      <c r="D218" s="1" t="s">
        <v>14</v>
      </c>
      <c r="E218" s="1" t="s">
        <v>15</v>
      </c>
      <c r="F218" s="1" t="s">
        <v>16</v>
      </c>
      <c r="G218" s="1">
        <v>1991</v>
      </c>
      <c r="H218" s="6" t="s">
        <v>682</v>
      </c>
      <c r="I218" s="6" t="s">
        <v>683</v>
      </c>
      <c r="J218" s="6" t="s">
        <v>684</v>
      </c>
      <c r="K218" s="1"/>
      <c r="L218" s="4">
        <f t="shared" si="13"/>
        <v>43358937.6</v>
      </c>
      <c r="M218" s="4" t="s">
        <v>20</v>
      </c>
      <c r="N218" s="4">
        <f t="shared" si="14"/>
        <v>47478688.93</v>
      </c>
      <c r="O218" s="4" t="s">
        <v>21</v>
      </c>
      <c r="P218" s="4">
        <f t="shared" si="15"/>
        <v>39481378.76</v>
      </c>
      <c r="Q218" s="4" t="s">
        <v>22</v>
      </c>
      <c r="R218" s="4" t="str">
        <f t="shared" si="16"/>
        <v>43358937.6(39481378.76,47478688.93)</v>
      </c>
      <c r="S218" s="4"/>
      <c r="T218" s="4"/>
      <c r="U218" s="4"/>
    </row>
    <row r="219" hidden="1" spans="1:21">
      <c r="A219" s="1" t="s">
        <v>502</v>
      </c>
      <c r="B219" s="1" t="s">
        <v>12</v>
      </c>
      <c r="C219" s="1" t="s">
        <v>13</v>
      </c>
      <c r="D219" s="1" t="s">
        <v>14</v>
      </c>
      <c r="E219" s="1" t="s">
        <v>15</v>
      </c>
      <c r="F219" s="1" t="s">
        <v>23</v>
      </c>
      <c r="G219" s="1">
        <v>1991</v>
      </c>
      <c r="H219" s="6" t="s">
        <v>685</v>
      </c>
      <c r="I219" s="6" t="s">
        <v>686</v>
      </c>
      <c r="J219" s="6" t="s">
        <v>687</v>
      </c>
      <c r="K219" s="1"/>
      <c r="L219" s="4">
        <f t="shared" si="13"/>
        <v>2474.17</v>
      </c>
      <c r="M219" s="4" t="s">
        <v>20</v>
      </c>
      <c r="N219" s="4">
        <f t="shared" si="14"/>
        <v>2709.26</v>
      </c>
      <c r="O219" s="4" t="s">
        <v>21</v>
      </c>
      <c r="P219" s="4">
        <f t="shared" si="15"/>
        <v>2252.91</v>
      </c>
      <c r="Q219" s="4" t="s">
        <v>22</v>
      </c>
      <c r="R219" s="4" t="str">
        <f t="shared" si="16"/>
        <v>2474.17(2252.91,2709.26)</v>
      </c>
      <c r="S219" s="4"/>
      <c r="T219" s="4"/>
      <c r="U219" s="4"/>
    </row>
    <row r="220" hidden="1" spans="1:21">
      <c r="A220" s="1" t="s">
        <v>502</v>
      </c>
      <c r="B220" s="1" t="s">
        <v>12</v>
      </c>
      <c r="C220" s="1" t="s">
        <v>13</v>
      </c>
      <c r="D220" s="1" t="s">
        <v>14</v>
      </c>
      <c r="E220" s="1" t="s">
        <v>15</v>
      </c>
      <c r="F220" s="1" t="s">
        <v>16</v>
      </c>
      <c r="G220" s="1">
        <v>2021</v>
      </c>
      <c r="H220" s="6" t="s">
        <v>688</v>
      </c>
      <c r="I220" s="6" t="s">
        <v>689</v>
      </c>
      <c r="J220" s="6" t="s">
        <v>690</v>
      </c>
      <c r="K220" s="1"/>
      <c r="L220" s="4">
        <f t="shared" si="13"/>
        <v>162027508.69</v>
      </c>
      <c r="M220" s="4" t="s">
        <v>20</v>
      </c>
      <c r="N220" s="4">
        <f t="shared" si="14"/>
        <v>176064658.78</v>
      </c>
      <c r="O220" s="4" t="s">
        <v>21</v>
      </c>
      <c r="P220" s="4">
        <f t="shared" si="15"/>
        <v>149820600.03</v>
      </c>
      <c r="Q220" s="4" t="s">
        <v>22</v>
      </c>
      <c r="R220" s="4" t="str">
        <f t="shared" si="16"/>
        <v>162027508.69(149820600.03,176064658.78)</v>
      </c>
      <c r="S220" s="4"/>
      <c r="T220" s="4"/>
      <c r="U220" s="4"/>
    </row>
    <row r="221" hidden="1" spans="1:21">
      <c r="A221" s="1" t="s">
        <v>502</v>
      </c>
      <c r="B221" s="1" t="s">
        <v>12</v>
      </c>
      <c r="C221" s="1" t="s">
        <v>13</v>
      </c>
      <c r="D221" s="1" t="s">
        <v>14</v>
      </c>
      <c r="E221" s="1" t="s">
        <v>15</v>
      </c>
      <c r="F221" s="1" t="s">
        <v>23</v>
      </c>
      <c r="G221" s="1">
        <v>2021</v>
      </c>
      <c r="H221" s="6" t="s">
        <v>691</v>
      </c>
      <c r="I221" s="6" t="s">
        <v>692</v>
      </c>
      <c r="J221" s="6" t="s">
        <v>693</v>
      </c>
      <c r="K221" s="1"/>
      <c r="L221" s="4">
        <f t="shared" si="13"/>
        <v>6617.3</v>
      </c>
      <c r="M221" s="4" t="s">
        <v>20</v>
      </c>
      <c r="N221" s="4">
        <f t="shared" si="14"/>
        <v>7190.59</v>
      </c>
      <c r="O221" s="4" t="s">
        <v>21</v>
      </c>
      <c r="P221" s="4">
        <f t="shared" si="15"/>
        <v>6118.76</v>
      </c>
      <c r="Q221" s="4" t="s">
        <v>22</v>
      </c>
      <c r="R221" s="4" t="str">
        <f t="shared" si="16"/>
        <v>6617.3(6118.76,7190.59)</v>
      </c>
      <c r="S221" s="4"/>
      <c r="T221" s="4"/>
      <c r="U221" s="4"/>
    </row>
    <row r="222" hidden="1" spans="1:21">
      <c r="A222" s="1" t="s">
        <v>502</v>
      </c>
      <c r="B222" s="1" t="s">
        <v>12</v>
      </c>
      <c r="C222" s="1" t="s">
        <v>13</v>
      </c>
      <c r="D222" s="1" t="s">
        <v>27</v>
      </c>
      <c r="E222" s="1" t="s">
        <v>15</v>
      </c>
      <c r="F222" s="1" t="s">
        <v>23</v>
      </c>
      <c r="G222" s="1">
        <v>1991</v>
      </c>
      <c r="H222" s="6" t="s">
        <v>694</v>
      </c>
      <c r="I222" s="6" t="s">
        <v>695</v>
      </c>
      <c r="J222" s="6" t="s">
        <v>696</v>
      </c>
      <c r="K222" s="1"/>
      <c r="L222" s="4">
        <f t="shared" si="13"/>
        <v>3499.83</v>
      </c>
      <c r="M222" s="4" t="s">
        <v>20</v>
      </c>
      <c r="N222" s="4">
        <f t="shared" si="14"/>
        <v>3849.52</v>
      </c>
      <c r="O222" s="4" t="s">
        <v>21</v>
      </c>
      <c r="P222" s="4">
        <f t="shared" si="15"/>
        <v>3182.11</v>
      </c>
      <c r="Q222" s="4" t="s">
        <v>22</v>
      </c>
      <c r="R222" s="4" t="str">
        <f t="shared" si="16"/>
        <v>3499.83(3182.11,3849.52)</v>
      </c>
      <c r="S222" s="4"/>
      <c r="T222" s="4"/>
      <c r="U222" s="4"/>
    </row>
    <row r="223" hidden="1" spans="1:21">
      <c r="A223" s="1" t="s">
        <v>502</v>
      </c>
      <c r="B223" s="1" t="s">
        <v>12</v>
      </c>
      <c r="C223" s="1" t="s">
        <v>13</v>
      </c>
      <c r="D223" s="1" t="s">
        <v>27</v>
      </c>
      <c r="E223" s="1" t="s">
        <v>15</v>
      </c>
      <c r="F223" s="1" t="s">
        <v>23</v>
      </c>
      <c r="G223" s="1">
        <v>2021</v>
      </c>
      <c r="H223" s="6" t="s">
        <v>697</v>
      </c>
      <c r="I223" s="6" t="s">
        <v>698</v>
      </c>
      <c r="J223" s="6" t="s">
        <v>699</v>
      </c>
      <c r="K223" s="1"/>
      <c r="L223" s="4">
        <f t="shared" si="13"/>
        <v>5858.41</v>
      </c>
      <c r="M223" s="4" t="s">
        <v>20</v>
      </c>
      <c r="N223" s="4">
        <f t="shared" si="14"/>
        <v>6366.29</v>
      </c>
      <c r="O223" s="4" t="s">
        <v>21</v>
      </c>
      <c r="P223" s="4">
        <f t="shared" si="15"/>
        <v>5428.41</v>
      </c>
      <c r="Q223" s="4" t="s">
        <v>22</v>
      </c>
      <c r="R223" s="4" t="str">
        <f t="shared" si="16"/>
        <v>5858.41(5428.41,6366.29)</v>
      </c>
      <c r="S223" s="4"/>
      <c r="T223" s="4"/>
      <c r="U223" s="4"/>
    </row>
    <row r="224" hidden="1" spans="1:21">
      <c r="A224" s="1" t="s">
        <v>502</v>
      </c>
      <c r="B224" s="1" t="s">
        <v>100</v>
      </c>
      <c r="C224" s="1" t="s">
        <v>13</v>
      </c>
      <c r="D224" s="1" t="s">
        <v>14</v>
      </c>
      <c r="E224" s="1" t="s">
        <v>15</v>
      </c>
      <c r="F224" s="1" t="s">
        <v>16</v>
      </c>
      <c r="G224" s="1">
        <v>1991</v>
      </c>
      <c r="H224" s="6" t="s">
        <v>700</v>
      </c>
      <c r="I224" s="6" t="s">
        <v>701</v>
      </c>
      <c r="J224" s="6" t="s">
        <v>702</v>
      </c>
      <c r="K224" s="1"/>
      <c r="L224" s="4">
        <f t="shared" si="13"/>
        <v>31644435.2</v>
      </c>
      <c r="M224" s="4" t="s">
        <v>20</v>
      </c>
      <c r="N224" s="4">
        <f t="shared" si="14"/>
        <v>34577800.53</v>
      </c>
      <c r="O224" s="4" t="s">
        <v>21</v>
      </c>
      <c r="P224" s="4">
        <f t="shared" si="15"/>
        <v>28974195.05</v>
      </c>
      <c r="Q224" s="4" t="s">
        <v>22</v>
      </c>
      <c r="R224" s="4" t="str">
        <f t="shared" si="16"/>
        <v>31644435.2(28974195.05,34577800.53)</v>
      </c>
      <c r="S224" s="4"/>
      <c r="T224" s="4"/>
      <c r="U224" s="4"/>
    </row>
    <row r="225" hidden="1" spans="1:21">
      <c r="A225" s="1" t="s">
        <v>502</v>
      </c>
      <c r="B225" s="1" t="s">
        <v>100</v>
      </c>
      <c r="C225" s="1" t="s">
        <v>13</v>
      </c>
      <c r="D225" s="1" t="s">
        <v>14</v>
      </c>
      <c r="E225" s="1" t="s">
        <v>15</v>
      </c>
      <c r="F225" s="1" t="s">
        <v>23</v>
      </c>
      <c r="G225" s="1">
        <v>1991</v>
      </c>
      <c r="H225" s="6" t="s">
        <v>703</v>
      </c>
      <c r="I225" s="6" t="s">
        <v>704</v>
      </c>
      <c r="J225" s="6" t="s">
        <v>705</v>
      </c>
      <c r="K225" s="1"/>
      <c r="L225" s="4">
        <f t="shared" si="13"/>
        <v>2942.38</v>
      </c>
      <c r="M225" s="4" t="s">
        <v>20</v>
      </c>
      <c r="N225" s="4">
        <f t="shared" si="14"/>
        <v>3215.13</v>
      </c>
      <c r="O225" s="4" t="s">
        <v>21</v>
      </c>
      <c r="P225" s="4">
        <f t="shared" si="15"/>
        <v>2694.09</v>
      </c>
      <c r="Q225" s="4" t="s">
        <v>22</v>
      </c>
      <c r="R225" s="4" t="str">
        <f t="shared" si="16"/>
        <v>2942.38(2694.09,3215.13)</v>
      </c>
      <c r="S225" s="4"/>
      <c r="T225" s="4"/>
      <c r="U225" s="4"/>
    </row>
    <row r="226" hidden="1" spans="1:21">
      <c r="A226" s="1" t="s">
        <v>502</v>
      </c>
      <c r="B226" s="1" t="s">
        <v>100</v>
      </c>
      <c r="C226" s="1" t="s">
        <v>13</v>
      </c>
      <c r="D226" s="1" t="s">
        <v>14</v>
      </c>
      <c r="E226" s="1" t="s">
        <v>15</v>
      </c>
      <c r="F226" s="1" t="s">
        <v>16</v>
      </c>
      <c r="G226" s="1">
        <v>2021</v>
      </c>
      <c r="H226" s="6" t="s">
        <v>706</v>
      </c>
      <c r="I226" s="6" t="s">
        <v>707</v>
      </c>
      <c r="J226" s="6" t="s">
        <v>708</v>
      </c>
      <c r="K226" s="1"/>
      <c r="L226" s="4">
        <f t="shared" si="13"/>
        <v>100416140.08</v>
      </c>
      <c r="M226" s="4" t="s">
        <v>20</v>
      </c>
      <c r="N226" s="4">
        <f t="shared" si="14"/>
        <v>108445471.66</v>
      </c>
      <c r="O226" s="4" t="s">
        <v>21</v>
      </c>
      <c r="P226" s="4">
        <f t="shared" si="15"/>
        <v>93059309.99</v>
      </c>
      <c r="Q226" s="4" t="s">
        <v>22</v>
      </c>
      <c r="R226" s="4" t="str">
        <f t="shared" si="16"/>
        <v>100416140.08(93059309.99,108445471.66)</v>
      </c>
      <c r="S226" s="4"/>
      <c r="T226" s="4"/>
      <c r="U226" s="4"/>
    </row>
    <row r="227" hidden="1" spans="1:21">
      <c r="A227" s="1" t="s">
        <v>502</v>
      </c>
      <c r="B227" s="1" t="s">
        <v>100</v>
      </c>
      <c r="C227" s="1" t="s">
        <v>13</v>
      </c>
      <c r="D227" s="1" t="s">
        <v>14</v>
      </c>
      <c r="E227" s="1" t="s">
        <v>15</v>
      </c>
      <c r="F227" s="1" t="s">
        <v>23</v>
      </c>
      <c r="G227" s="1">
        <v>2021</v>
      </c>
      <c r="H227" s="6" t="s">
        <v>709</v>
      </c>
      <c r="I227" s="6" t="s">
        <v>710</v>
      </c>
      <c r="J227" s="6" t="s">
        <v>711</v>
      </c>
      <c r="K227" s="1"/>
      <c r="L227" s="4">
        <f t="shared" si="13"/>
        <v>7700.44</v>
      </c>
      <c r="M227" s="4" t="s">
        <v>20</v>
      </c>
      <c r="N227" s="4">
        <f t="shared" si="14"/>
        <v>8316.17</v>
      </c>
      <c r="O227" s="4" t="s">
        <v>21</v>
      </c>
      <c r="P227" s="4">
        <f t="shared" si="15"/>
        <v>7136.28</v>
      </c>
      <c r="Q227" s="4" t="s">
        <v>22</v>
      </c>
      <c r="R227" s="4" t="str">
        <f t="shared" si="16"/>
        <v>7700.44(7136.28,8316.17)</v>
      </c>
      <c r="S227" s="4"/>
      <c r="T227" s="4"/>
      <c r="U227" s="4"/>
    </row>
    <row r="228" hidden="1" spans="1:21">
      <c r="A228" s="1" t="s">
        <v>502</v>
      </c>
      <c r="B228" s="1" t="s">
        <v>100</v>
      </c>
      <c r="C228" s="1" t="s">
        <v>13</v>
      </c>
      <c r="D228" s="1" t="s">
        <v>27</v>
      </c>
      <c r="E228" s="1" t="s">
        <v>15</v>
      </c>
      <c r="F228" s="1" t="s">
        <v>23</v>
      </c>
      <c r="G228" s="1">
        <v>1991</v>
      </c>
      <c r="H228" s="6" t="s">
        <v>712</v>
      </c>
      <c r="I228" s="6" t="s">
        <v>713</v>
      </c>
      <c r="J228" s="6" t="s">
        <v>714</v>
      </c>
      <c r="K228" s="1"/>
      <c r="L228" s="4">
        <f t="shared" si="13"/>
        <v>2995.52</v>
      </c>
      <c r="M228" s="4" t="s">
        <v>20</v>
      </c>
      <c r="N228" s="4">
        <f t="shared" si="14"/>
        <v>3271.05</v>
      </c>
      <c r="O228" s="4" t="s">
        <v>21</v>
      </c>
      <c r="P228" s="4">
        <f t="shared" si="15"/>
        <v>2747.79</v>
      </c>
      <c r="Q228" s="4" t="s">
        <v>22</v>
      </c>
      <c r="R228" s="4" t="str">
        <f t="shared" si="16"/>
        <v>2995.52(2747.79,3271.05)</v>
      </c>
      <c r="S228" s="4"/>
      <c r="T228" s="4"/>
      <c r="U228" s="4"/>
    </row>
    <row r="229" hidden="1" spans="1:21">
      <c r="A229" s="1" t="s">
        <v>502</v>
      </c>
      <c r="B229" s="1" t="s">
        <v>100</v>
      </c>
      <c r="C229" s="1" t="s">
        <v>13</v>
      </c>
      <c r="D229" s="1" t="s">
        <v>27</v>
      </c>
      <c r="E229" s="1" t="s">
        <v>15</v>
      </c>
      <c r="F229" s="1" t="s">
        <v>23</v>
      </c>
      <c r="G229" s="1">
        <v>2021</v>
      </c>
      <c r="H229" s="6" t="s">
        <v>715</v>
      </c>
      <c r="I229" s="6" t="s">
        <v>716</v>
      </c>
      <c r="J229" s="6" t="s">
        <v>717</v>
      </c>
      <c r="K229" s="1"/>
      <c r="L229" s="4">
        <f t="shared" si="13"/>
        <v>5516.76</v>
      </c>
      <c r="M229" s="4" t="s">
        <v>20</v>
      </c>
      <c r="N229" s="4">
        <f t="shared" si="14"/>
        <v>5953.5</v>
      </c>
      <c r="O229" s="4" t="s">
        <v>21</v>
      </c>
      <c r="P229" s="4">
        <f t="shared" si="15"/>
        <v>5107.8</v>
      </c>
      <c r="Q229" s="4" t="s">
        <v>22</v>
      </c>
      <c r="R229" s="4" t="str">
        <f t="shared" si="16"/>
        <v>5516.76(5107.8,5953.5)</v>
      </c>
      <c r="S229" s="4"/>
      <c r="T229" s="4"/>
      <c r="U229" s="4"/>
    </row>
    <row r="230" hidden="1" spans="1:21">
      <c r="A230" s="1" t="s">
        <v>502</v>
      </c>
      <c r="B230" s="1" t="s">
        <v>81</v>
      </c>
      <c r="C230" s="1" t="s">
        <v>13</v>
      </c>
      <c r="D230" s="1" t="s">
        <v>14</v>
      </c>
      <c r="E230" s="1" t="s">
        <v>15</v>
      </c>
      <c r="F230" s="1" t="s">
        <v>16</v>
      </c>
      <c r="G230" s="1">
        <v>1991</v>
      </c>
      <c r="H230" s="6" t="s">
        <v>718</v>
      </c>
      <c r="I230" s="6" t="s">
        <v>719</v>
      </c>
      <c r="J230" s="6" t="s">
        <v>720</v>
      </c>
      <c r="K230" s="1"/>
      <c r="L230" s="4">
        <f t="shared" si="13"/>
        <v>31362398.12</v>
      </c>
      <c r="M230" s="4" t="s">
        <v>20</v>
      </c>
      <c r="N230" s="4">
        <f t="shared" si="14"/>
        <v>34130507.61</v>
      </c>
      <c r="O230" s="4" t="s">
        <v>21</v>
      </c>
      <c r="P230" s="4">
        <f t="shared" si="15"/>
        <v>28969481.82</v>
      </c>
      <c r="Q230" s="4" t="s">
        <v>22</v>
      </c>
      <c r="R230" s="4" t="str">
        <f t="shared" si="16"/>
        <v>31362398.12(28969481.82,34130507.61)</v>
      </c>
      <c r="S230" s="4"/>
      <c r="T230" s="4"/>
      <c r="U230" s="4"/>
    </row>
    <row r="231" hidden="1" spans="1:21">
      <c r="A231" s="1" t="s">
        <v>502</v>
      </c>
      <c r="B231" s="1" t="s">
        <v>81</v>
      </c>
      <c r="C231" s="1" t="s">
        <v>13</v>
      </c>
      <c r="D231" s="1" t="s">
        <v>14</v>
      </c>
      <c r="E231" s="1" t="s">
        <v>15</v>
      </c>
      <c r="F231" s="1" t="s">
        <v>23</v>
      </c>
      <c r="G231" s="1">
        <v>1991</v>
      </c>
      <c r="H231" s="6" t="s">
        <v>721</v>
      </c>
      <c r="I231" s="6" t="s">
        <v>722</v>
      </c>
      <c r="J231" s="6" t="s">
        <v>723</v>
      </c>
      <c r="K231" s="1"/>
      <c r="L231" s="4">
        <f t="shared" si="13"/>
        <v>3537.15</v>
      </c>
      <c r="M231" s="4" t="s">
        <v>20</v>
      </c>
      <c r="N231" s="4">
        <f t="shared" si="14"/>
        <v>3849.34</v>
      </c>
      <c r="O231" s="4" t="s">
        <v>21</v>
      </c>
      <c r="P231" s="4">
        <f t="shared" si="15"/>
        <v>3267.27</v>
      </c>
      <c r="Q231" s="4" t="s">
        <v>22</v>
      </c>
      <c r="R231" s="4" t="str">
        <f t="shared" si="16"/>
        <v>3537.15(3267.27,3849.34)</v>
      </c>
      <c r="S231" s="4"/>
      <c r="T231" s="4"/>
      <c r="U231" s="4"/>
    </row>
    <row r="232" hidden="1" spans="1:21">
      <c r="A232" s="1" t="s">
        <v>502</v>
      </c>
      <c r="B232" s="1" t="s">
        <v>81</v>
      </c>
      <c r="C232" s="1" t="s">
        <v>13</v>
      </c>
      <c r="D232" s="1" t="s">
        <v>14</v>
      </c>
      <c r="E232" s="1" t="s">
        <v>15</v>
      </c>
      <c r="F232" s="1" t="s">
        <v>16</v>
      </c>
      <c r="G232" s="1">
        <v>2021</v>
      </c>
      <c r="H232" s="6" t="s">
        <v>724</v>
      </c>
      <c r="I232" s="6" t="s">
        <v>725</v>
      </c>
      <c r="J232" s="6" t="s">
        <v>726</v>
      </c>
      <c r="K232" s="1"/>
      <c r="L232" s="4">
        <f t="shared" ref="L232:L295" si="17">ROUND(H232,2)</f>
        <v>115092212.52</v>
      </c>
      <c r="M232" s="4" t="s">
        <v>20</v>
      </c>
      <c r="N232" s="4">
        <f t="shared" si="14"/>
        <v>122529460.46</v>
      </c>
      <c r="O232" s="4" t="s">
        <v>21</v>
      </c>
      <c r="P232" s="4">
        <f t="shared" si="15"/>
        <v>108298781.26</v>
      </c>
      <c r="Q232" s="4" t="s">
        <v>22</v>
      </c>
      <c r="R232" s="4" t="str">
        <f t="shared" si="16"/>
        <v>115092212.52(108298781.26,122529460.46)</v>
      </c>
      <c r="S232" s="4"/>
      <c r="T232" s="4"/>
      <c r="U232" s="4"/>
    </row>
    <row r="233" hidden="1" spans="1:21">
      <c r="A233" s="1" t="s">
        <v>502</v>
      </c>
      <c r="B233" s="1" t="s">
        <v>81</v>
      </c>
      <c r="C233" s="1" t="s">
        <v>13</v>
      </c>
      <c r="D233" s="1" t="s">
        <v>14</v>
      </c>
      <c r="E233" s="1" t="s">
        <v>15</v>
      </c>
      <c r="F233" s="1" t="s">
        <v>23</v>
      </c>
      <c r="G233" s="1">
        <v>2021</v>
      </c>
      <c r="H233" s="6" t="s">
        <v>727</v>
      </c>
      <c r="I233" s="6" t="s">
        <v>728</v>
      </c>
      <c r="J233" s="6" t="s">
        <v>729</v>
      </c>
      <c r="K233" s="1"/>
      <c r="L233" s="4">
        <f t="shared" si="17"/>
        <v>10519.85</v>
      </c>
      <c r="M233" s="4" t="s">
        <v>20</v>
      </c>
      <c r="N233" s="4">
        <f t="shared" si="14"/>
        <v>11199.64</v>
      </c>
      <c r="O233" s="4" t="s">
        <v>21</v>
      </c>
      <c r="P233" s="4">
        <f t="shared" si="15"/>
        <v>9898.91</v>
      </c>
      <c r="Q233" s="4" t="s">
        <v>22</v>
      </c>
      <c r="R233" s="4" t="str">
        <f t="shared" si="16"/>
        <v>10519.85(9898.91,11199.64)</v>
      </c>
      <c r="S233" s="4"/>
      <c r="T233" s="4"/>
      <c r="U233" s="4"/>
    </row>
    <row r="234" hidden="1" spans="1:21">
      <c r="A234" s="1" t="s">
        <v>502</v>
      </c>
      <c r="B234" s="1" t="s">
        <v>81</v>
      </c>
      <c r="C234" s="1" t="s">
        <v>13</v>
      </c>
      <c r="D234" s="1" t="s">
        <v>27</v>
      </c>
      <c r="E234" s="1" t="s">
        <v>15</v>
      </c>
      <c r="F234" s="1" t="s">
        <v>23</v>
      </c>
      <c r="G234" s="1">
        <v>1991</v>
      </c>
      <c r="H234" s="6" t="s">
        <v>730</v>
      </c>
      <c r="I234" s="6" t="s">
        <v>731</v>
      </c>
      <c r="J234" s="6" t="s">
        <v>732</v>
      </c>
      <c r="K234" s="1"/>
      <c r="L234" s="4">
        <f t="shared" si="17"/>
        <v>2907.5</v>
      </c>
      <c r="M234" s="4" t="s">
        <v>20</v>
      </c>
      <c r="N234" s="4">
        <f t="shared" si="14"/>
        <v>3167.57</v>
      </c>
      <c r="O234" s="4" t="s">
        <v>21</v>
      </c>
      <c r="P234" s="4">
        <f t="shared" si="15"/>
        <v>2684.48</v>
      </c>
      <c r="Q234" s="4" t="s">
        <v>22</v>
      </c>
      <c r="R234" s="4" t="str">
        <f t="shared" si="16"/>
        <v>2907.5(2684.48,3167.57)</v>
      </c>
      <c r="S234" s="4"/>
      <c r="T234" s="4"/>
      <c r="U234" s="4"/>
    </row>
    <row r="235" hidden="1" spans="1:21">
      <c r="A235" s="1" t="s">
        <v>502</v>
      </c>
      <c r="B235" s="1" t="s">
        <v>81</v>
      </c>
      <c r="C235" s="1" t="s">
        <v>13</v>
      </c>
      <c r="D235" s="1" t="s">
        <v>27</v>
      </c>
      <c r="E235" s="1" t="s">
        <v>15</v>
      </c>
      <c r="F235" s="1" t="s">
        <v>23</v>
      </c>
      <c r="G235" s="1">
        <v>2021</v>
      </c>
      <c r="H235" s="6" t="s">
        <v>733</v>
      </c>
      <c r="I235" s="6" t="s">
        <v>734</v>
      </c>
      <c r="J235" s="6" t="s">
        <v>735</v>
      </c>
      <c r="K235" s="1"/>
      <c r="L235" s="4">
        <f t="shared" si="17"/>
        <v>6575.42</v>
      </c>
      <c r="M235" s="4" t="s">
        <v>20</v>
      </c>
      <c r="N235" s="4">
        <f t="shared" si="14"/>
        <v>7011.14</v>
      </c>
      <c r="O235" s="4" t="s">
        <v>21</v>
      </c>
      <c r="P235" s="4">
        <f t="shared" si="15"/>
        <v>6168.31</v>
      </c>
      <c r="Q235" s="4" t="s">
        <v>22</v>
      </c>
      <c r="R235" s="4" t="str">
        <f t="shared" si="16"/>
        <v>6575.42(6168.31,7011.14)</v>
      </c>
      <c r="S235" s="4"/>
      <c r="T235" s="4"/>
      <c r="U235" s="4"/>
    </row>
    <row r="236" hidden="1" spans="1:21">
      <c r="A236" s="1" t="s">
        <v>736</v>
      </c>
      <c r="B236" s="1" t="s">
        <v>61</v>
      </c>
      <c r="C236" s="1" t="s">
        <v>13</v>
      </c>
      <c r="D236" s="1" t="s">
        <v>14</v>
      </c>
      <c r="E236" s="1" t="s">
        <v>15</v>
      </c>
      <c r="F236" s="1" t="s">
        <v>16</v>
      </c>
      <c r="G236" s="1">
        <v>1991</v>
      </c>
      <c r="H236" s="6" t="s">
        <v>737</v>
      </c>
      <c r="I236" s="6" t="s">
        <v>738</v>
      </c>
      <c r="J236" s="6" t="s">
        <v>739</v>
      </c>
      <c r="K236" s="1"/>
      <c r="L236" s="4">
        <f t="shared" si="17"/>
        <v>598956.74</v>
      </c>
      <c r="M236" s="4" t="s">
        <v>20</v>
      </c>
      <c r="N236" s="4">
        <f t="shared" si="14"/>
        <v>653377.03</v>
      </c>
      <c r="O236" s="4" t="s">
        <v>21</v>
      </c>
      <c r="P236" s="4">
        <f t="shared" si="15"/>
        <v>546570.4</v>
      </c>
      <c r="Q236" s="4" t="s">
        <v>22</v>
      </c>
      <c r="R236" s="4" t="str">
        <f t="shared" si="16"/>
        <v>598956.74(546570.4,653377.03)</v>
      </c>
      <c r="S236" s="4"/>
      <c r="T236" s="4"/>
      <c r="U236" s="4"/>
    </row>
    <row r="237" hidden="1" spans="1:21">
      <c r="A237" s="1" t="s">
        <v>736</v>
      </c>
      <c r="B237" s="1" t="s">
        <v>61</v>
      </c>
      <c r="C237" s="1" t="s">
        <v>13</v>
      </c>
      <c r="D237" s="1" t="s">
        <v>14</v>
      </c>
      <c r="E237" s="1" t="s">
        <v>15</v>
      </c>
      <c r="F237" s="1" t="s">
        <v>23</v>
      </c>
      <c r="G237" s="1">
        <v>1991</v>
      </c>
      <c r="H237" s="6" t="s">
        <v>740</v>
      </c>
      <c r="I237" s="6" t="s">
        <v>741</v>
      </c>
      <c r="J237" s="6" t="s">
        <v>742</v>
      </c>
      <c r="K237" s="1"/>
      <c r="L237" s="4">
        <f t="shared" si="17"/>
        <v>141.88</v>
      </c>
      <c r="M237" s="4" t="s">
        <v>20</v>
      </c>
      <c r="N237" s="4">
        <f t="shared" si="14"/>
        <v>154.77</v>
      </c>
      <c r="O237" s="4" t="s">
        <v>21</v>
      </c>
      <c r="P237" s="4">
        <f t="shared" si="15"/>
        <v>129.47</v>
      </c>
      <c r="Q237" s="4" t="s">
        <v>22</v>
      </c>
      <c r="R237" s="4" t="str">
        <f t="shared" si="16"/>
        <v>141.88(129.47,154.77)</v>
      </c>
      <c r="S237" s="4"/>
      <c r="T237" s="4"/>
      <c r="U237" s="4"/>
    </row>
    <row r="238" hidden="1" spans="1:21">
      <c r="A238" s="1" t="s">
        <v>736</v>
      </c>
      <c r="B238" s="1" t="s">
        <v>61</v>
      </c>
      <c r="C238" s="1" t="s">
        <v>13</v>
      </c>
      <c r="D238" s="1" t="s">
        <v>14</v>
      </c>
      <c r="E238" s="1" t="s">
        <v>15</v>
      </c>
      <c r="F238" s="1" t="s">
        <v>16</v>
      </c>
      <c r="G238" s="1">
        <v>2021</v>
      </c>
      <c r="H238" s="6" t="s">
        <v>743</v>
      </c>
      <c r="I238" s="6" t="s">
        <v>744</v>
      </c>
      <c r="J238" s="6" t="s">
        <v>745</v>
      </c>
      <c r="K238" s="1"/>
      <c r="L238" s="4">
        <f t="shared" si="17"/>
        <v>1220655.38</v>
      </c>
      <c r="M238" s="4" t="s">
        <v>20</v>
      </c>
      <c r="N238" s="4">
        <f t="shared" si="14"/>
        <v>1330316.32</v>
      </c>
      <c r="O238" s="4" t="s">
        <v>21</v>
      </c>
      <c r="P238" s="4">
        <f t="shared" si="15"/>
        <v>1114757.45</v>
      </c>
      <c r="Q238" s="4" t="s">
        <v>22</v>
      </c>
      <c r="R238" s="4" t="str">
        <f t="shared" si="16"/>
        <v>1220655.38(1114757.45,1330316.32)</v>
      </c>
      <c r="S238" s="4"/>
      <c r="T238" s="4"/>
      <c r="U238" s="4"/>
    </row>
    <row r="239" hidden="1" spans="1:21">
      <c r="A239" s="1" t="s">
        <v>736</v>
      </c>
      <c r="B239" s="1" t="s">
        <v>61</v>
      </c>
      <c r="C239" s="1" t="s">
        <v>13</v>
      </c>
      <c r="D239" s="1" t="s">
        <v>14</v>
      </c>
      <c r="E239" s="1" t="s">
        <v>15</v>
      </c>
      <c r="F239" s="1" t="s">
        <v>23</v>
      </c>
      <c r="G239" s="1">
        <v>2021</v>
      </c>
      <c r="H239" s="6" t="s">
        <v>746</v>
      </c>
      <c r="I239" s="6" t="s">
        <v>747</v>
      </c>
      <c r="J239" s="6" t="s">
        <v>748</v>
      </c>
      <c r="K239" s="1"/>
      <c r="L239" s="4">
        <f t="shared" si="17"/>
        <v>292.14</v>
      </c>
      <c r="M239" s="4" t="s">
        <v>20</v>
      </c>
      <c r="N239" s="4">
        <f t="shared" si="14"/>
        <v>318.39</v>
      </c>
      <c r="O239" s="4" t="s">
        <v>21</v>
      </c>
      <c r="P239" s="4">
        <f t="shared" si="15"/>
        <v>266.8</v>
      </c>
      <c r="Q239" s="4" t="s">
        <v>22</v>
      </c>
      <c r="R239" s="4" t="str">
        <f t="shared" si="16"/>
        <v>292.14(266.8,318.39)</v>
      </c>
      <c r="S239" s="4"/>
      <c r="T239" s="4"/>
      <c r="U239" s="4"/>
    </row>
    <row r="240" hidden="1" spans="1:21">
      <c r="A240" s="1" t="s">
        <v>736</v>
      </c>
      <c r="B240" s="1" t="s">
        <v>61</v>
      </c>
      <c r="C240" s="1" t="s">
        <v>13</v>
      </c>
      <c r="D240" s="1" t="s">
        <v>27</v>
      </c>
      <c r="E240" s="1" t="s">
        <v>15</v>
      </c>
      <c r="F240" s="1" t="s">
        <v>23</v>
      </c>
      <c r="G240" s="1">
        <v>1991</v>
      </c>
      <c r="H240" s="6" t="s">
        <v>749</v>
      </c>
      <c r="I240" s="6" t="s">
        <v>750</v>
      </c>
      <c r="J240" s="6" t="s">
        <v>751</v>
      </c>
      <c r="K240" s="1"/>
      <c r="L240" s="4">
        <f t="shared" si="17"/>
        <v>126.12</v>
      </c>
      <c r="M240" s="4" t="s">
        <v>20</v>
      </c>
      <c r="N240" s="4">
        <f t="shared" si="14"/>
        <v>137.23</v>
      </c>
      <c r="O240" s="4" t="s">
        <v>21</v>
      </c>
      <c r="P240" s="4">
        <f t="shared" si="15"/>
        <v>115.47</v>
      </c>
      <c r="Q240" s="4" t="s">
        <v>22</v>
      </c>
      <c r="R240" s="4" t="str">
        <f t="shared" si="16"/>
        <v>126.12(115.47,137.23)</v>
      </c>
      <c r="S240" s="4"/>
      <c r="T240" s="4"/>
      <c r="U240" s="4"/>
    </row>
    <row r="241" hidden="1" spans="1:21">
      <c r="A241" s="1" t="s">
        <v>736</v>
      </c>
      <c r="B241" s="1" t="s">
        <v>61</v>
      </c>
      <c r="C241" s="1" t="s">
        <v>13</v>
      </c>
      <c r="D241" s="1" t="s">
        <v>27</v>
      </c>
      <c r="E241" s="1" t="s">
        <v>15</v>
      </c>
      <c r="F241" s="1" t="s">
        <v>23</v>
      </c>
      <c r="G241" s="1">
        <v>2021</v>
      </c>
      <c r="H241" s="6" t="s">
        <v>752</v>
      </c>
      <c r="I241" s="6" t="s">
        <v>753</v>
      </c>
      <c r="J241" s="6" t="s">
        <v>754</v>
      </c>
      <c r="K241" s="1"/>
      <c r="L241" s="4">
        <f t="shared" si="17"/>
        <v>224.08</v>
      </c>
      <c r="M241" s="4" t="s">
        <v>20</v>
      </c>
      <c r="N241" s="4">
        <f t="shared" si="14"/>
        <v>243.14</v>
      </c>
      <c r="O241" s="4" t="s">
        <v>21</v>
      </c>
      <c r="P241" s="4">
        <f t="shared" si="15"/>
        <v>206.28</v>
      </c>
      <c r="Q241" s="4" t="s">
        <v>22</v>
      </c>
      <c r="R241" s="4" t="str">
        <f t="shared" si="16"/>
        <v>224.08(206.28,243.14)</v>
      </c>
      <c r="S241" s="4"/>
      <c r="T241" s="4"/>
      <c r="U241" s="4"/>
    </row>
    <row r="242" hidden="1" spans="1:21">
      <c r="A242" s="1" t="s">
        <v>736</v>
      </c>
      <c r="B242" s="1" t="s">
        <v>91</v>
      </c>
      <c r="C242" s="1" t="s">
        <v>13</v>
      </c>
      <c r="D242" s="1" t="s">
        <v>14</v>
      </c>
      <c r="E242" s="1" t="s">
        <v>15</v>
      </c>
      <c r="F242" s="1" t="s">
        <v>16</v>
      </c>
      <c r="G242" s="1">
        <v>1991</v>
      </c>
      <c r="H242" s="6" t="s">
        <v>755</v>
      </c>
      <c r="I242" s="6" t="s">
        <v>756</v>
      </c>
      <c r="J242" s="6" t="s">
        <v>757</v>
      </c>
      <c r="K242" s="1"/>
      <c r="L242" s="4">
        <f t="shared" si="17"/>
        <v>7777842.47</v>
      </c>
      <c r="M242" s="4" t="s">
        <v>20</v>
      </c>
      <c r="N242" s="4">
        <f t="shared" si="14"/>
        <v>8431238.51</v>
      </c>
      <c r="O242" s="4" t="s">
        <v>21</v>
      </c>
      <c r="P242" s="4">
        <f t="shared" si="15"/>
        <v>7173476.76</v>
      </c>
      <c r="Q242" s="4" t="s">
        <v>22</v>
      </c>
      <c r="R242" s="4" t="str">
        <f t="shared" si="16"/>
        <v>7777842.47(7173476.76,8431238.51)</v>
      </c>
      <c r="S242" s="4"/>
      <c r="T242" s="4"/>
      <c r="U242" s="4"/>
    </row>
    <row r="243" hidden="1" spans="1:21">
      <c r="A243" s="1" t="s">
        <v>736</v>
      </c>
      <c r="B243" s="1" t="s">
        <v>91</v>
      </c>
      <c r="C243" s="1" t="s">
        <v>13</v>
      </c>
      <c r="D243" s="1" t="s">
        <v>14</v>
      </c>
      <c r="E243" s="1" t="s">
        <v>15</v>
      </c>
      <c r="F243" s="1" t="s">
        <v>23</v>
      </c>
      <c r="G243" s="1">
        <v>1991</v>
      </c>
      <c r="H243" s="6" t="s">
        <v>758</v>
      </c>
      <c r="I243" s="6" t="s">
        <v>759</v>
      </c>
      <c r="J243" s="6" t="s">
        <v>760</v>
      </c>
      <c r="K243" s="1"/>
      <c r="L243" s="4">
        <f t="shared" si="17"/>
        <v>143.59</v>
      </c>
      <c r="M243" s="4" t="s">
        <v>20</v>
      </c>
      <c r="N243" s="4">
        <f t="shared" si="14"/>
        <v>155.66</v>
      </c>
      <c r="O243" s="4" t="s">
        <v>21</v>
      </c>
      <c r="P243" s="4">
        <f t="shared" si="15"/>
        <v>132.44</v>
      </c>
      <c r="Q243" s="4" t="s">
        <v>22</v>
      </c>
      <c r="R243" s="4" t="str">
        <f t="shared" si="16"/>
        <v>143.59(132.44,155.66)</v>
      </c>
      <c r="S243" s="4"/>
      <c r="T243" s="4"/>
      <c r="U243" s="4"/>
    </row>
    <row r="244" spans="1:21">
      <c r="A244" s="1" t="s">
        <v>736</v>
      </c>
      <c r="B244" s="1" t="s">
        <v>91</v>
      </c>
      <c r="C244" s="1" t="s">
        <v>13</v>
      </c>
      <c r="D244" s="1" t="s">
        <v>14</v>
      </c>
      <c r="E244" s="1" t="s">
        <v>15</v>
      </c>
      <c r="F244" s="1" t="s">
        <v>16</v>
      </c>
      <c r="G244" s="1">
        <v>2021</v>
      </c>
      <c r="H244" s="6" t="s">
        <v>761</v>
      </c>
      <c r="I244" s="6" t="s">
        <v>762</v>
      </c>
      <c r="J244" s="6" t="s">
        <v>763</v>
      </c>
      <c r="K244" s="1"/>
      <c r="L244" s="4">
        <f t="shared" si="17"/>
        <v>23911320.58</v>
      </c>
      <c r="M244" s="4" t="s">
        <v>20</v>
      </c>
      <c r="N244" s="4">
        <f t="shared" si="14"/>
        <v>25788088.77</v>
      </c>
      <c r="O244" s="4" t="s">
        <v>21</v>
      </c>
      <c r="P244" s="4">
        <f t="shared" si="15"/>
        <v>22140751.31</v>
      </c>
      <c r="Q244" s="4" t="s">
        <v>22</v>
      </c>
      <c r="R244" s="4" t="str">
        <f t="shared" si="16"/>
        <v>23911320.58(22140751.31,25788088.77)</v>
      </c>
      <c r="S244" s="4"/>
      <c r="T244" s="4"/>
      <c r="U244" s="4"/>
    </row>
    <row r="245" spans="1:21">
      <c r="A245" s="1" t="s">
        <v>736</v>
      </c>
      <c r="B245" s="1" t="s">
        <v>91</v>
      </c>
      <c r="C245" s="1" t="s">
        <v>13</v>
      </c>
      <c r="D245" s="1" t="s">
        <v>14</v>
      </c>
      <c r="E245" s="1" t="s">
        <v>15</v>
      </c>
      <c r="F245" s="1" t="s">
        <v>23</v>
      </c>
      <c r="G245" s="1">
        <v>2021</v>
      </c>
      <c r="H245" s="6" t="s">
        <v>764</v>
      </c>
      <c r="I245" s="6" t="s">
        <v>765</v>
      </c>
      <c r="J245" s="6" t="s">
        <v>766</v>
      </c>
      <c r="K245" s="1"/>
      <c r="L245" s="4">
        <f t="shared" si="17"/>
        <v>303.01</v>
      </c>
      <c r="M245" s="4" t="s">
        <v>20</v>
      </c>
      <c r="N245" s="4">
        <f t="shared" si="14"/>
        <v>326.79</v>
      </c>
      <c r="O245" s="4" t="s">
        <v>21</v>
      </c>
      <c r="P245" s="4">
        <f t="shared" si="15"/>
        <v>280.57</v>
      </c>
      <c r="Q245" s="4" t="s">
        <v>22</v>
      </c>
      <c r="R245" s="4" t="str">
        <f t="shared" si="16"/>
        <v>303.01(280.57,326.79)</v>
      </c>
      <c r="S245" s="4"/>
      <c r="T245" s="4"/>
      <c r="U245" s="4"/>
    </row>
    <row r="246" hidden="1" spans="1:21">
      <c r="A246" s="1" t="s">
        <v>736</v>
      </c>
      <c r="B246" s="1" t="s">
        <v>91</v>
      </c>
      <c r="C246" s="1" t="s">
        <v>13</v>
      </c>
      <c r="D246" s="1" t="s">
        <v>27</v>
      </c>
      <c r="E246" s="1" t="s">
        <v>15</v>
      </c>
      <c r="F246" s="1" t="s">
        <v>23</v>
      </c>
      <c r="G246" s="1">
        <v>1991</v>
      </c>
      <c r="H246" s="6" t="s">
        <v>767</v>
      </c>
      <c r="I246" s="6" t="s">
        <v>768</v>
      </c>
      <c r="J246" s="6" t="s">
        <v>769</v>
      </c>
      <c r="K246" s="1"/>
      <c r="L246" s="4">
        <f t="shared" si="17"/>
        <v>165.84</v>
      </c>
      <c r="M246" s="4" t="s">
        <v>20</v>
      </c>
      <c r="N246" s="4">
        <f t="shared" si="14"/>
        <v>179.92</v>
      </c>
      <c r="O246" s="4" t="s">
        <v>21</v>
      </c>
      <c r="P246" s="4">
        <f t="shared" si="15"/>
        <v>151.95</v>
      </c>
      <c r="Q246" s="4" t="s">
        <v>22</v>
      </c>
      <c r="R246" s="4" t="str">
        <f t="shared" si="16"/>
        <v>165.84(151.95,179.92)</v>
      </c>
      <c r="S246" s="4"/>
      <c r="T246" s="4"/>
      <c r="U246" s="4"/>
    </row>
    <row r="247" spans="1:21">
      <c r="A247" s="1" t="s">
        <v>736</v>
      </c>
      <c r="B247" s="1" t="s">
        <v>91</v>
      </c>
      <c r="C247" s="1" t="s">
        <v>13</v>
      </c>
      <c r="D247" s="1" t="s">
        <v>27</v>
      </c>
      <c r="E247" s="1" t="s">
        <v>15</v>
      </c>
      <c r="F247" s="1" t="s">
        <v>23</v>
      </c>
      <c r="G247" s="1">
        <v>2021</v>
      </c>
      <c r="H247" s="6" t="s">
        <v>770</v>
      </c>
      <c r="I247" s="6" t="s">
        <v>771</v>
      </c>
      <c r="J247" s="6" t="s">
        <v>772</v>
      </c>
      <c r="K247" s="1"/>
      <c r="L247" s="4">
        <f t="shared" si="17"/>
        <v>280.33</v>
      </c>
      <c r="M247" s="4" t="s">
        <v>20</v>
      </c>
      <c r="N247" s="4">
        <f t="shared" si="14"/>
        <v>302.15</v>
      </c>
      <c r="O247" s="4" t="s">
        <v>21</v>
      </c>
      <c r="P247" s="4">
        <f t="shared" si="15"/>
        <v>260.06</v>
      </c>
      <c r="Q247" s="4" t="s">
        <v>22</v>
      </c>
      <c r="R247" s="4" t="str">
        <f t="shared" si="16"/>
        <v>280.33(260.06,302.15)</v>
      </c>
      <c r="S247" s="4"/>
      <c r="T247" s="4"/>
      <c r="U247" s="4"/>
    </row>
    <row r="248" hidden="1" spans="1:21">
      <c r="A248" s="1" t="s">
        <v>736</v>
      </c>
      <c r="B248" s="1" t="s">
        <v>71</v>
      </c>
      <c r="C248" s="1" t="s">
        <v>13</v>
      </c>
      <c r="D248" s="1" t="s">
        <v>14</v>
      </c>
      <c r="E248" s="1" t="s">
        <v>15</v>
      </c>
      <c r="F248" s="1" t="s">
        <v>16</v>
      </c>
      <c r="G248" s="1">
        <v>1991</v>
      </c>
      <c r="H248" s="6" t="s">
        <v>773</v>
      </c>
      <c r="I248" s="6" t="s">
        <v>774</v>
      </c>
      <c r="J248" s="6" t="s">
        <v>775</v>
      </c>
      <c r="K248" s="1"/>
      <c r="L248" s="4">
        <f t="shared" si="17"/>
        <v>730955.27</v>
      </c>
      <c r="M248" s="4" t="s">
        <v>20</v>
      </c>
      <c r="N248" s="4">
        <f t="shared" si="14"/>
        <v>786638.96</v>
      </c>
      <c r="O248" s="4" t="s">
        <v>21</v>
      </c>
      <c r="P248" s="4">
        <f t="shared" si="15"/>
        <v>680184.45</v>
      </c>
      <c r="Q248" s="4" t="s">
        <v>22</v>
      </c>
      <c r="R248" s="4" t="str">
        <f t="shared" si="16"/>
        <v>730955.27(680184.45,786638.96)</v>
      </c>
      <c r="S248" s="4"/>
      <c r="T248" s="4"/>
      <c r="U248" s="4"/>
    </row>
    <row r="249" hidden="1" spans="1:21">
      <c r="A249" s="1" t="s">
        <v>736</v>
      </c>
      <c r="B249" s="1" t="s">
        <v>71</v>
      </c>
      <c r="C249" s="1" t="s">
        <v>13</v>
      </c>
      <c r="D249" s="1" t="s">
        <v>14</v>
      </c>
      <c r="E249" s="1" t="s">
        <v>15</v>
      </c>
      <c r="F249" s="1" t="s">
        <v>23</v>
      </c>
      <c r="G249" s="1">
        <v>1991</v>
      </c>
      <c r="H249" s="6" t="s">
        <v>776</v>
      </c>
      <c r="I249" s="6" t="s">
        <v>777</v>
      </c>
      <c r="J249" s="6" t="s">
        <v>778</v>
      </c>
      <c r="K249" s="1"/>
      <c r="L249" s="4">
        <f t="shared" si="17"/>
        <v>183.83</v>
      </c>
      <c r="M249" s="4" t="s">
        <v>20</v>
      </c>
      <c r="N249" s="4">
        <f t="shared" si="14"/>
        <v>197.83</v>
      </c>
      <c r="O249" s="4" t="s">
        <v>21</v>
      </c>
      <c r="P249" s="4">
        <f t="shared" si="15"/>
        <v>171.06</v>
      </c>
      <c r="Q249" s="4" t="s">
        <v>22</v>
      </c>
      <c r="R249" s="4" t="str">
        <f t="shared" si="16"/>
        <v>183.83(171.06,197.83)</v>
      </c>
      <c r="S249" s="4"/>
      <c r="T249" s="4"/>
      <c r="U249" s="4"/>
    </row>
    <row r="250" hidden="1" spans="1:21">
      <c r="A250" s="1" t="s">
        <v>736</v>
      </c>
      <c r="B250" s="1" t="s">
        <v>71</v>
      </c>
      <c r="C250" s="1" t="s">
        <v>13</v>
      </c>
      <c r="D250" s="1" t="s">
        <v>14</v>
      </c>
      <c r="E250" s="1" t="s">
        <v>15</v>
      </c>
      <c r="F250" s="1" t="s">
        <v>16</v>
      </c>
      <c r="G250" s="1">
        <v>2021</v>
      </c>
      <c r="H250" s="6" t="s">
        <v>779</v>
      </c>
      <c r="I250" s="6" t="s">
        <v>780</v>
      </c>
      <c r="J250" s="6" t="s">
        <v>781</v>
      </c>
      <c r="K250" s="1"/>
      <c r="L250" s="4">
        <f t="shared" si="17"/>
        <v>2166746.64</v>
      </c>
      <c r="M250" s="4" t="s">
        <v>20</v>
      </c>
      <c r="N250" s="4">
        <f t="shared" si="14"/>
        <v>2340335.94</v>
      </c>
      <c r="O250" s="4" t="s">
        <v>21</v>
      </c>
      <c r="P250" s="4">
        <f t="shared" si="15"/>
        <v>1996241.75</v>
      </c>
      <c r="Q250" s="4" t="s">
        <v>22</v>
      </c>
      <c r="R250" s="4" t="str">
        <f t="shared" si="16"/>
        <v>2166746.64(1996241.75,2340335.94)</v>
      </c>
      <c r="S250" s="4"/>
      <c r="T250" s="4"/>
      <c r="U250" s="4"/>
    </row>
    <row r="251" hidden="1" spans="1:21">
      <c r="A251" s="1" t="s">
        <v>736</v>
      </c>
      <c r="B251" s="1" t="s">
        <v>71</v>
      </c>
      <c r="C251" s="1" t="s">
        <v>13</v>
      </c>
      <c r="D251" s="1" t="s">
        <v>14</v>
      </c>
      <c r="E251" s="1" t="s">
        <v>15</v>
      </c>
      <c r="F251" s="1" t="s">
        <v>23</v>
      </c>
      <c r="G251" s="1">
        <v>2021</v>
      </c>
      <c r="H251" s="6" t="s">
        <v>782</v>
      </c>
      <c r="I251" s="6" t="s">
        <v>783</v>
      </c>
      <c r="J251" s="6" t="s">
        <v>784</v>
      </c>
      <c r="K251" s="1"/>
      <c r="L251" s="4">
        <f t="shared" si="17"/>
        <v>364.7</v>
      </c>
      <c r="M251" s="4" t="s">
        <v>20</v>
      </c>
      <c r="N251" s="4">
        <f t="shared" si="14"/>
        <v>393.92</v>
      </c>
      <c r="O251" s="4" t="s">
        <v>21</v>
      </c>
      <c r="P251" s="4">
        <f t="shared" si="15"/>
        <v>336</v>
      </c>
      <c r="Q251" s="4" t="s">
        <v>22</v>
      </c>
      <c r="R251" s="4" t="str">
        <f t="shared" si="16"/>
        <v>364.7(336,393.92)</v>
      </c>
      <c r="S251" s="4"/>
      <c r="T251" s="4"/>
      <c r="U251" s="4"/>
    </row>
    <row r="252" hidden="1" spans="1:21">
      <c r="A252" s="1" t="s">
        <v>736</v>
      </c>
      <c r="B252" s="1" t="s">
        <v>71</v>
      </c>
      <c r="C252" s="1" t="s">
        <v>13</v>
      </c>
      <c r="D252" s="1" t="s">
        <v>27</v>
      </c>
      <c r="E252" s="1" t="s">
        <v>15</v>
      </c>
      <c r="F252" s="1" t="s">
        <v>23</v>
      </c>
      <c r="G252" s="1">
        <v>1991</v>
      </c>
      <c r="H252" s="6" t="s">
        <v>785</v>
      </c>
      <c r="I252" s="1">
        <v>269.7391885</v>
      </c>
      <c r="J252" s="6" t="s">
        <v>786</v>
      </c>
      <c r="K252" s="1"/>
      <c r="L252" s="4">
        <f t="shared" si="17"/>
        <v>249.61</v>
      </c>
      <c r="M252" s="4" t="s">
        <v>20</v>
      </c>
      <c r="N252" s="4">
        <f t="shared" si="14"/>
        <v>269.74</v>
      </c>
      <c r="O252" s="4" t="s">
        <v>21</v>
      </c>
      <c r="P252" s="4">
        <f t="shared" si="15"/>
        <v>230.69</v>
      </c>
      <c r="Q252" s="4" t="s">
        <v>22</v>
      </c>
      <c r="R252" s="4" t="str">
        <f t="shared" si="16"/>
        <v>249.61(230.69,269.74)</v>
      </c>
      <c r="S252" s="4"/>
      <c r="T252" s="4"/>
      <c r="U252" s="4"/>
    </row>
    <row r="253" hidden="1" spans="1:21">
      <c r="A253" s="1" t="s">
        <v>736</v>
      </c>
      <c r="B253" s="1" t="s">
        <v>71</v>
      </c>
      <c r="C253" s="1" t="s">
        <v>13</v>
      </c>
      <c r="D253" s="1" t="s">
        <v>27</v>
      </c>
      <c r="E253" s="1" t="s">
        <v>15</v>
      </c>
      <c r="F253" s="1" t="s">
        <v>23</v>
      </c>
      <c r="G253" s="1">
        <v>2021</v>
      </c>
      <c r="H253" s="6" t="s">
        <v>787</v>
      </c>
      <c r="I253" s="6" t="s">
        <v>788</v>
      </c>
      <c r="J253" s="6" t="s">
        <v>789</v>
      </c>
      <c r="K253" s="1"/>
      <c r="L253" s="4">
        <f t="shared" si="17"/>
        <v>334.67</v>
      </c>
      <c r="M253" s="4" t="s">
        <v>20</v>
      </c>
      <c r="N253" s="4">
        <f t="shared" si="14"/>
        <v>361.18</v>
      </c>
      <c r="O253" s="4" t="s">
        <v>21</v>
      </c>
      <c r="P253" s="4">
        <f t="shared" si="15"/>
        <v>308.75</v>
      </c>
      <c r="Q253" s="4" t="s">
        <v>22</v>
      </c>
      <c r="R253" s="4" t="str">
        <f t="shared" si="16"/>
        <v>334.67(308.75,361.18)</v>
      </c>
      <c r="S253" s="4"/>
      <c r="T253" s="4"/>
      <c r="U253" s="4"/>
    </row>
    <row r="254" hidden="1" spans="1:21">
      <c r="A254" s="1" t="s">
        <v>736</v>
      </c>
      <c r="B254" s="1" t="s">
        <v>41</v>
      </c>
      <c r="C254" s="1" t="s">
        <v>13</v>
      </c>
      <c r="D254" s="1" t="s">
        <v>14</v>
      </c>
      <c r="E254" s="1" t="s">
        <v>15</v>
      </c>
      <c r="F254" s="1" t="s">
        <v>16</v>
      </c>
      <c r="G254" s="1">
        <v>1991</v>
      </c>
      <c r="H254" s="6" t="s">
        <v>790</v>
      </c>
      <c r="I254" s="6" t="s">
        <v>791</v>
      </c>
      <c r="J254" s="6" t="s">
        <v>792</v>
      </c>
      <c r="K254" s="1"/>
      <c r="L254" s="4">
        <f t="shared" si="17"/>
        <v>1300406.16</v>
      </c>
      <c r="M254" s="4" t="s">
        <v>20</v>
      </c>
      <c r="N254" s="4">
        <f t="shared" si="14"/>
        <v>1428762.67</v>
      </c>
      <c r="O254" s="4" t="s">
        <v>21</v>
      </c>
      <c r="P254" s="4">
        <f t="shared" si="15"/>
        <v>1187565.52</v>
      </c>
      <c r="Q254" s="4" t="s">
        <v>22</v>
      </c>
      <c r="R254" s="4" t="str">
        <f t="shared" si="16"/>
        <v>1300406.16(1187565.52,1428762.67)</v>
      </c>
      <c r="S254" s="4"/>
      <c r="T254" s="4"/>
      <c r="U254" s="4"/>
    </row>
    <row r="255" hidden="1" spans="1:21">
      <c r="A255" s="1" t="s">
        <v>736</v>
      </c>
      <c r="B255" s="1" t="s">
        <v>41</v>
      </c>
      <c r="C255" s="1" t="s">
        <v>13</v>
      </c>
      <c r="D255" s="1" t="s">
        <v>14</v>
      </c>
      <c r="E255" s="1" t="s">
        <v>15</v>
      </c>
      <c r="F255" s="1" t="s">
        <v>23</v>
      </c>
      <c r="G255" s="1">
        <v>1991</v>
      </c>
      <c r="H255" s="6" t="s">
        <v>793</v>
      </c>
      <c r="I255" s="6" t="s">
        <v>794</v>
      </c>
      <c r="J255" s="6" t="s">
        <v>795</v>
      </c>
      <c r="K255" s="1"/>
      <c r="L255" s="4">
        <f t="shared" si="17"/>
        <v>116.69</v>
      </c>
      <c r="M255" s="4" t="s">
        <v>20</v>
      </c>
      <c r="N255" s="4">
        <f t="shared" si="14"/>
        <v>128.2</v>
      </c>
      <c r="O255" s="4" t="s">
        <v>21</v>
      </c>
      <c r="P255" s="4">
        <f t="shared" si="15"/>
        <v>106.56</v>
      </c>
      <c r="Q255" s="4" t="s">
        <v>22</v>
      </c>
      <c r="R255" s="4" t="str">
        <f t="shared" si="16"/>
        <v>116.69(106.56,128.2)</v>
      </c>
      <c r="S255" s="4"/>
      <c r="T255" s="4"/>
      <c r="U255" s="4"/>
    </row>
    <row r="256" hidden="1" spans="1:21">
      <c r="A256" s="1" t="s">
        <v>736</v>
      </c>
      <c r="B256" s="1" t="s">
        <v>41</v>
      </c>
      <c r="C256" s="1" t="s">
        <v>13</v>
      </c>
      <c r="D256" s="1" t="s">
        <v>14</v>
      </c>
      <c r="E256" s="1" t="s">
        <v>15</v>
      </c>
      <c r="F256" s="1" t="s">
        <v>16</v>
      </c>
      <c r="G256" s="1">
        <v>2021</v>
      </c>
      <c r="H256" s="6" t="s">
        <v>796</v>
      </c>
      <c r="I256" s="6" t="s">
        <v>797</v>
      </c>
      <c r="J256" s="6" t="s">
        <v>798</v>
      </c>
      <c r="K256" s="1"/>
      <c r="L256" s="4">
        <f t="shared" si="17"/>
        <v>4939344.57</v>
      </c>
      <c r="M256" s="4" t="s">
        <v>20</v>
      </c>
      <c r="N256" s="4">
        <f t="shared" si="14"/>
        <v>5418417.63</v>
      </c>
      <c r="O256" s="4" t="s">
        <v>21</v>
      </c>
      <c r="P256" s="4">
        <f t="shared" si="15"/>
        <v>4503489.42</v>
      </c>
      <c r="Q256" s="4" t="s">
        <v>22</v>
      </c>
      <c r="R256" s="4" t="str">
        <f t="shared" si="16"/>
        <v>4939344.57(4503489.42,5418417.63)</v>
      </c>
      <c r="S256" s="4"/>
      <c r="T256" s="4"/>
      <c r="U256" s="4"/>
    </row>
    <row r="257" hidden="1" spans="1:21">
      <c r="A257" s="1" t="s">
        <v>736</v>
      </c>
      <c r="B257" s="1" t="s">
        <v>41</v>
      </c>
      <c r="C257" s="1" t="s">
        <v>13</v>
      </c>
      <c r="D257" s="1" t="s">
        <v>14</v>
      </c>
      <c r="E257" s="1" t="s">
        <v>15</v>
      </c>
      <c r="F257" s="1" t="s">
        <v>23</v>
      </c>
      <c r="G257" s="1">
        <v>2021</v>
      </c>
      <c r="H257" s="6" t="s">
        <v>799</v>
      </c>
      <c r="I257" s="6" t="s">
        <v>800</v>
      </c>
      <c r="J257" s="6" t="s">
        <v>801</v>
      </c>
      <c r="K257" s="1"/>
      <c r="L257" s="4">
        <f t="shared" si="17"/>
        <v>267.49</v>
      </c>
      <c r="M257" s="4" t="s">
        <v>20</v>
      </c>
      <c r="N257" s="4">
        <f t="shared" si="14"/>
        <v>293.43</v>
      </c>
      <c r="O257" s="4" t="s">
        <v>21</v>
      </c>
      <c r="P257" s="4">
        <f t="shared" si="15"/>
        <v>243.88</v>
      </c>
      <c r="Q257" s="4" t="s">
        <v>22</v>
      </c>
      <c r="R257" s="4" t="str">
        <f t="shared" si="16"/>
        <v>267.49(243.88,293.43)</v>
      </c>
      <c r="S257" s="4"/>
      <c r="T257" s="4"/>
      <c r="U257" s="4"/>
    </row>
    <row r="258" hidden="1" spans="1:21">
      <c r="A258" s="1" t="s">
        <v>736</v>
      </c>
      <c r="B258" s="1" t="s">
        <v>41</v>
      </c>
      <c r="C258" s="1" t="s">
        <v>13</v>
      </c>
      <c r="D258" s="1" t="s">
        <v>27</v>
      </c>
      <c r="E258" s="1" t="s">
        <v>15</v>
      </c>
      <c r="F258" s="1" t="s">
        <v>23</v>
      </c>
      <c r="G258" s="1">
        <v>1991</v>
      </c>
      <c r="H258" s="6" t="s">
        <v>802</v>
      </c>
      <c r="I258" s="6" t="s">
        <v>803</v>
      </c>
      <c r="J258" s="6" t="s">
        <v>804</v>
      </c>
      <c r="K258" s="1"/>
      <c r="L258" s="4">
        <f t="shared" si="17"/>
        <v>161.47</v>
      </c>
      <c r="M258" s="4" t="s">
        <v>20</v>
      </c>
      <c r="N258" s="4">
        <f t="shared" si="14"/>
        <v>176.86</v>
      </c>
      <c r="O258" s="4" t="s">
        <v>21</v>
      </c>
      <c r="P258" s="4">
        <f t="shared" si="15"/>
        <v>147.81</v>
      </c>
      <c r="Q258" s="4" t="s">
        <v>22</v>
      </c>
      <c r="R258" s="4" t="str">
        <f t="shared" si="16"/>
        <v>161.47(147.81,176.86)</v>
      </c>
      <c r="S258" s="4"/>
      <c r="T258" s="4"/>
      <c r="U258" s="4"/>
    </row>
    <row r="259" hidden="1" spans="1:21">
      <c r="A259" s="1" t="s">
        <v>736</v>
      </c>
      <c r="B259" s="1" t="s">
        <v>41</v>
      </c>
      <c r="C259" s="1" t="s">
        <v>13</v>
      </c>
      <c r="D259" s="1" t="s">
        <v>27</v>
      </c>
      <c r="E259" s="1" t="s">
        <v>15</v>
      </c>
      <c r="F259" s="1" t="s">
        <v>23</v>
      </c>
      <c r="G259" s="1">
        <v>2021</v>
      </c>
      <c r="H259" s="6" t="s">
        <v>805</v>
      </c>
      <c r="I259" s="6" t="s">
        <v>806</v>
      </c>
      <c r="J259" s="6" t="s">
        <v>807</v>
      </c>
      <c r="K259" s="1"/>
      <c r="L259" s="4">
        <f t="shared" si="17"/>
        <v>271.08</v>
      </c>
      <c r="M259" s="4" t="s">
        <v>20</v>
      </c>
      <c r="N259" s="4">
        <f t="shared" ref="N259:N313" si="18">ROUND(I259,2)</f>
        <v>295.78</v>
      </c>
      <c r="O259" s="4" t="s">
        <v>21</v>
      </c>
      <c r="P259" s="4">
        <f t="shared" ref="P259:P313" si="19">ROUND(J259,2)</f>
        <v>247.81</v>
      </c>
      <c r="Q259" s="4" t="s">
        <v>22</v>
      </c>
      <c r="R259" s="4" t="str">
        <f t="shared" ref="R259:R313" si="20">L259&amp;M259&amp;P259&amp;O259&amp;N259&amp;Q259</f>
        <v>271.08(247.81,295.78)</v>
      </c>
      <c r="S259" s="4"/>
      <c r="T259" s="4"/>
      <c r="U259" s="4"/>
    </row>
    <row r="260" hidden="1" spans="1:21">
      <c r="A260" s="1" t="s">
        <v>736</v>
      </c>
      <c r="B260" s="1" t="s">
        <v>51</v>
      </c>
      <c r="C260" s="1" t="s">
        <v>13</v>
      </c>
      <c r="D260" s="1" t="s">
        <v>14</v>
      </c>
      <c r="E260" s="1" t="s">
        <v>15</v>
      </c>
      <c r="F260" s="1" t="s">
        <v>16</v>
      </c>
      <c r="G260" s="1">
        <v>1991</v>
      </c>
      <c r="H260" s="6" t="s">
        <v>808</v>
      </c>
      <c r="I260" s="6" t="s">
        <v>809</v>
      </c>
      <c r="J260" s="6" t="s">
        <v>810</v>
      </c>
      <c r="K260" s="1"/>
      <c r="L260" s="4">
        <f t="shared" si="17"/>
        <v>1739343.65</v>
      </c>
      <c r="M260" s="4" t="s">
        <v>20</v>
      </c>
      <c r="N260" s="4">
        <f t="shared" si="18"/>
        <v>1872177.81</v>
      </c>
      <c r="O260" s="4" t="s">
        <v>21</v>
      </c>
      <c r="P260" s="4">
        <f t="shared" si="19"/>
        <v>1618580.82</v>
      </c>
      <c r="Q260" s="4" t="s">
        <v>22</v>
      </c>
      <c r="R260" s="4" t="str">
        <f t="shared" si="20"/>
        <v>1739343.65(1618580.82,1872177.81)</v>
      </c>
      <c r="S260" s="4"/>
      <c r="T260" s="4"/>
      <c r="U260" s="4"/>
    </row>
    <row r="261" hidden="1" spans="1:21">
      <c r="A261" s="1" t="s">
        <v>736</v>
      </c>
      <c r="B261" s="1" t="s">
        <v>51</v>
      </c>
      <c r="C261" s="1" t="s">
        <v>13</v>
      </c>
      <c r="D261" s="1" t="s">
        <v>14</v>
      </c>
      <c r="E261" s="1" t="s">
        <v>15</v>
      </c>
      <c r="F261" s="1" t="s">
        <v>23</v>
      </c>
      <c r="G261" s="1">
        <v>1991</v>
      </c>
      <c r="H261" s="6" t="s">
        <v>811</v>
      </c>
      <c r="I261" s="6" t="s">
        <v>812</v>
      </c>
      <c r="J261" s="6" t="s">
        <v>813</v>
      </c>
      <c r="K261" s="1"/>
      <c r="L261" s="4">
        <f t="shared" si="17"/>
        <v>190.02</v>
      </c>
      <c r="M261" s="4" t="s">
        <v>20</v>
      </c>
      <c r="N261" s="4">
        <f t="shared" si="18"/>
        <v>204.53</v>
      </c>
      <c r="O261" s="4" t="s">
        <v>21</v>
      </c>
      <c r="P261" s="4">
        <f t="shared" si="19"/>
        <v>176.82</v>
      </c>
      <c r="Q261" s="4" t="s">
        <v>22</v>
      </c>
      <c r="R261" s="4" t="str">
        <f t="shared" si="20"/>
        <v>190.02(176.82,204.53)</v>
      </c>
      <c r="S261" s="4"/>
      <c r="T261" s="4"/>
      <c r="U261" s="4"/>
    </row>
    <row r="262" hidden="1" spans="1:21">
      <c r="A262" s="1" t="s">
        <v>736</v>
      </c>
      <c r="B262" s="1" t="s">
        <v>51</v>
      </c>
      <c r="C262" s="1" t="s">
        <v>13</v>
      </c>
      <c r="D262" s="1" t="s">
        <v>14</v>
      </c>
      <c r="E262" s="1" t="s">
        <v>15</v>
      </c>
      <c r="F262" s="1" t="s">
        <v>16</v>
      </c>
      <c r="G262" s="1">
        <v>2021</v>
      </c>
      <c r="H262" s="6" t="s">
        <v>814</v>
      </c>
      <c r="I262" s="6" t="s">
        <v>815</v>
      </c>
      <c r="J262" s="6" t="s">
        <v>816</v>
      </c>
      <c r="K262" s="1"/>
      <c r="L262" s="4">
        <f t="shared" si="17"/>
        <v>4764783.74</v>
      </c>
      <c r="M262" s="4" t="s">
        <v>20</v>
      </c>
      <c r="N262" s="4">
        <f t="shared" si="18"/>
        <v>5100721.11</v>
      </c>
      <c r="O262" s="4" t="s">
        <v>21</v>
      </c>
      <c r="P262" s="4">
        <f t="shared" si="19"/>
        <v>4447224.1</v>
      </c>
      <c r="Q262" s="4" t="s">
        <v>22</v>
      </c>
      <c r="R262" s="4" t="str">
        <f t="shared" si="20"/>
        <v>4764783.74(4447224.1,5100721.11)</v>
      </c>
      <c r="S262" s="4"/>
      <c r="T262" s="4"/>
      <c r="U262" s="4"/>
    </row>
    <row r="263" hidden="1" spans="1:21">
      <c r="A263" s="1" t="s">
        <v>736</v>
      </c>
      <c r="B263" s="1" t="s">
        <v>51</v>
      </c>
      <c r="C263" s="1" t="s">
        <v>13</v>
      </c>
      <c r="D263" s="1" t="s">
        <v>14</v>
      </c>
      <c r="E263" s="1" t="s">
        <v>15</v>
      </c>
      <c r="F263" s="1" t="s">
        <v>23</v>
      </c>
      <c r="G263" s="1">
        <v>2021</v>
      </c>
      <c r="H263" s="1">
        <v>436.4689907</v>
      </c>
      <c r="I263" s="6" t="s">
        <v>817</v>
      </c>
      <c r="J263" s="6" t="s">
        <v>818</v>
      </c>
      <c r="K263" s="1"/>
      <c r="L263" s="4">
        <f t="shared" si="17"/>
        <v>436.47</v>
      </c>
      <c r="M263" s="4" t="s">
        <v>20</v>
      </c>
      <c r="N263" s="4">
        <f t="shared" si="18"/>
        <v>467.24</v>
      </c>
      <c r="O263" s="4" t="s">
        <v>21</v>
      </c>
      <c r="P263" s="4">
        <f t="shared" si="19"/>
        <v>407.38</v>
      </c>
      <c r="Q263" s="4" t="s">
        <v>22</v>
      </c>
      <c r="R263" s="4" t="str">
        <f t="shared" si="20"/>
        <v>436.47(407.38,467.24)</v>
      </c>
      <c r="S263" s="4"/>
      <c r="T263" s="4"/>
      <c r="U263" s="4"/>
    </row>
    <row r="264" hidden="1" spans="1:21">
      <c r="A264" s="1" t="s">
        <v>736</v>
      </c>
      <c r="B264" s="1" t="s">
        <v>51</v>
      </c>
      <c r="C264" s="1" t="s">
        <v>13</v>
      </c>
      <c r="D264" s="1" t="s">
        <v>27</v>
      </c>
      <c r="E264" s="1" t="s">
        <v>15</v>
      </c>
      <c r="F264" s="1" t="s">
        <v>23</v>
      </c>
      <c r="G264" s="1">
        <v>1991</v>
      </c>
      <c r="H264" s="6" t="s">
        <v>819</v>
      </c>
      <c r="I264" s="1">
        <v>174.8861099</v>
      </c>
      <c r="J264" s="6" t="s">
        <v>820</v>
      </c>
      <c r="K264" s="1"/>
      <c r="L264" s="4">
        <f t="shared" si="17"/>
        <v>162.5</v>
      </c>
      <c r="M264" s="4" t="s">
        <v>20</v>
      </c>
      <c r="N264" s="4">
        <f t="shared" si="18"/>
        <v>174.89</v>
      </c>
      <c r="O264" s="4" t="s">
        <v>21</v>
      </c>
      <c r="P264" s="4">
        <f t="shared" si="19"/>
        <v>150.93</v>
      </c>
      <c r="Q264" s="4" t="s">
        <v>22</v>
      </c>
      <c r="R264" s="4" t="str">
        <f t="shared" si="20"/>
        <v>162.5(150.93,174.89)</v>
      </c>
      <c r="S264" s="4"/>
      <c r="T264" s="4"/>
      <c r="U264" s="4"/>
    </row>
    <row r="265" hidden="1" spans="1:21">
      <c r="A265" s="1" t="s">
        <v>736</v>
      </c>
      <c r="B265" s="1" t="s">
        <v>51</v>
      </c>
      <c r="C265" s="1" t="s">
        <v>13</v>
      </c>
      <c r="D265" s="1" t="s">
        <v>27</v>
      </c>
      <c r="E265" s="1" t="s">
        <v>15</v>
      </c>
      <c r="F265" s="1" t="s">
        <v>23</v>
      </c>
      <c r="G265" s="1">
        <v>2021</v>
      </c>
      <c r="H265" s="6" t="s">
        <v>821</v>
      </c>
      <c r="I265" s="1">
        <v>341.9968192</v>
      </c>
      <c r="J265" s="6" t="s">
        <v>822</v>
      </c>
      <c r="K265" s="1"/>
      <c r="L265" s="4">
        <f t="shared" si="17"/>
        <v>321.08</v>
      </c>
      <c r="M265" s="4" t="s">
        <v>20</v>
      </c>
      <c r="N265" s="4">
        <f t="shared" si="18"/>
        <v>342</v>
      </c>
      <c r="O265" s="4" t="s">
        <v>21</v>
      </c>
      <c r="P265" s="4">
        <f t="shared" si="19"/>
        <v>301.35</v>
      </c>
      <c r="Q265" s="4" t="s">
        <v>22</v>
      </c>
      <c r="R265" s="4" t="str">
        <f t="shared" si="20"/>
        <v>321.08(301.35,342)</v>
      </c>
      <c r="S265" s="4"/>
      <c r="T265" s="4"/>
      <c r="U265" s="4"/>
    </row>
    <row r="266" hidden="1" spans="1:21">
      <c r="A266" s="1" t="s">
        <v>736</v>
      </c>
      <c r="B266" s="1" t="s">
        <v>120</v>
      </c>
      <c r="C266" s="1" t="s">
        <v>13</v>
      </c>
      <c r="D266" s="1" t="s">
        <v>14</v>
      </c>
      <c r="E266" s="1" t="s">
        <v>15</v>
      </c>
      <c r="F266" s="1" t="s">
        <v>16</v>
      </c>
      <c r="G266" s="1">
        <v>1991</v>
      </c>
      <c r="H266" s="6" t="s">
        <v>823</v>
      </c>
      <c r="I266" s="6" t="s">
        <v>824</v>
      </c>
      <c r="J266" s="6" t="s">
        <v>825</v>
      </c>
      <c r="K266" s="1"/>
      <c r="L266" s="4">
        <f t="shared" si="17"/>
        <v>444127.79</v>
      </c>
      <c r="M266" s="4" t="s">
        <v>20</v>
      </c>
      <c r="N266" s="4">
        <f t="shared" si="18"/>
        <v>479128.89</v>
      </c>
      <c r="O266" s="4" t="s">
        <v>21</v>
      </c>
      <c r="P266" s="4">
        <f t="shared" si="19"/>
        <v>413222.09</v>
      </c>
      <c r="Q266" s="4" t="s">
        <v>22</v>
      </c>
      <c r="R266" s="4" t="str">
        <f t="shared" si="20"/>
        <v>444127.79(413222.09,479128.89)</v>
      </c>
      <c r="S266" s="4"/>
      <c r="T266" s="4"/>
      <c r="U266" s="4"/>
    </row>
    <row r="267" hidden="1" spans="1:21">
      <c r="A267" s="1" t="s">
        <v>736</v>
      </c>
      <c r="B267" s="1" t="s">
        <v>120</v>
      </c>
      <c r="C267" s="1" t="s">
        <v>13</v>
      </c>
      <c r="D267" s="1" t="s">
        <v>14</v>
      </c>
      <c r="E267" s="1" t="s">
        <v>15</v>
      </c>
      <c r="F267" s="1" t="s">
        <v>23</v>
      </c>
      <c r="G267" s="1">
        <v>1991</v>
      </c>
      <c r="H267" s="6" t="s">
        <v>826</v>
      </c>
      <c r="I267" s="6" t="s">
        <v>827</v>
      </c>
      <c r="J267" s="6" t="s">
        <v>828</v>
      </c>
      <c r="K267" s="1"/>
      <c r="L267" s="4">
        <f t="shared" si="17"/>
        <v>127.84</v>
      </c>
      <c r="M267" s="4" t="s">
        <v>20</v>
      </c>
      <c r="N267" s="4">
        <f t="shared" si="18"/>
        <v>137.91</v>
      </c>
      <c r="O267" s="4" t="s">
        <v>21</v>
      </c>
      <c r="P267" s="4">
        <f t="shared" si="19"/>
        <v>118.94</v>
      </c>
      <c r="Q267" s="4" t="s">
        <v>22</v>
      </c>
      <c r="R267" s="4" t="str">
        <f t="shared" si="20"/>
        <v>127.84(118.94,137.91)</v>
      </c>
      <c r="S267" s="4"/>
      <c r="T267" s="4"/>
      <c r="U267" s="4"/>
    </row>
    <row r="268" hidden="1" spans="1:21">
      <c r="A268" s="1" t="s">
        <v>736</v>
      </c>
      <c r="B268" s="1" t="s">
        <v>120</v>
      </c>
      <c r="C268" s="1" t="s">
        <v>13</v>
      </c>
      <c r="D268" s="1" t="s">
        <v>14</v>
      </c>
      <c r="E268" s="1" t="s">
        <v>15</v>
      </c>
      <c r="F268" s="1" t="s">
        <v>16</v>
      </c>
      <c r="G268" s="1">
        <v>2021</v>
      </c>
      <c r="H268" s="6" t="s">
        <v>829</v>
      </c>
      <c r="I268" s="6" t="s">
        <v>830</v>
      </c>
      <c r="J268" s="6" t="s">
        <v>831</v>
      </c>
      <c r="K268" s="1"/>
      <c r="L268" s="4">
        <f t="shared" si="17"/>
        <v>2740386.9</v>
      </c>
      <c r="M268" s="4" t="s">
        <v>20</v>
      </c>
      <c r="N268" s="4">
        <f t="shared" si="18"/>
        <v>2963580.63</v>
      </c>
      <c r="O268" s="4" t="s">
        <v>21</v>
      </c>
      <c r="P268" s="4">
        <f t="shared" si="19"/>
        <v>2529649.15</v>
      </c>
      <c r="Q268" s="4" t="s">
        <v>22</v>
      </c>
      <c r="R268" s="4" t="str">
        <f t="shared" si="20"/>
        <v>2740386.9(2529649.15,2963580.63)</v>
      </c>
      <c r="S268" s="4"/>
      <c r="T268" s="4"/>
      <c r="U268" s="4"/>
    </row>
    <row r="269" hidden="1" spans="1:21">
      <c r="A269" s="1" t="s">
        <v>736</v>
      </c>
      <c r="B269" s="1" t="s">
        <v>120</v>
      </c>
      <c r="C269" s="1" t="s">
        <v>13</v>
      </c>
      <c r="D269" s="1" t="s">
        <v>14</v>
      </c>
      <c r="E269" s="1" t="s">
        <v>15</v>
      </c>
      <c r="F269" s="1" t="s">
        <v>23</v>
      </c>
      <c r="G269" s="1">
        <v>2021</v>
      </c>
      <c r="H269" s="6" t="s">
        <v>832</v>
      </c>
      <c r="I269" s="6" t="s">
        <v>833</v>
      </c>
      <c r="J269" s="6" t="s">
        <v>834</v>
      </c>
      <c r="K269" s="1"/>
      <c r="L269" s="4">
        <f t="shared" si="17"/>
        <v>439.87</v>
      </c>
      <c r="M269" s="4" t="s">
        <v>20</v>
      </c>
      <c r="N269" s="4">
        <f t="shared" si="18"/>
        <v>475.7</v>
      </c>
      <c r="O269" s="4" t="s">
        <v>21</v>
      </c>
      <c r="P269" s="4">
        <f t="shared" si="19"/>
        <v>406.04</v>
      </c>
      <c r="Q269" s="4" t="s">
        <v>22</v>
      </c>
      <c r="R269" s="4" t="str">
        <f t="shared" si="20"/>
        <v>439.87(406.04,475.7)</v>
      </c>
      <c r="S269" s="4"/>
      <c r="T269" s="4"/>
      <c r="U269" s="4"/>
    </row>
    <row r="270" hidden="1" spans="1:21">
      <c r="A270" s="1" t="s">
        <v>736</v>
      </c>
      <c r="B270" s="1" t="s">
        <v>120</v>
      </c>
      <c r="C270" s="1" t="s">
        <v>13</v>
      </c>
      <c r="D270" s="1" t="s">
        <v>27</v>
      </c>
      <c r="E270" s="1" t="s">
        <v>15</v>
      </c>
      <c r="F270" s="1" t="s">
        <v>23</v>
      </c>
      <c r="G270" s="1">
        <v>1991</v>
      </c>
      <c r="H270" s="6" t="s">
        <v>835</v>
      </c>
      <c r="I270" s="6" t="s">
        <v>836</v>
      </c>
      <c r="J270" s="6" t="s">
        <v>837</v>
      </c>
      <c r="K270" s="1"/>
      <c r="L270" s="4">
        <f t="shared" si="17"/>
        <v>193.77</v>
      </c>
      <c r="M270" s="4" t="s">
        <v>20</v>
      </c>
      <c r="N270" s="4">
        <f t="shared" si="18"/>
        <v>209.45</v>
      </c>
      <c r="O270" s="4" t="s">
        <v>21</v>
      </c>
      <c r="P270" s="4">
        <f t="shared" si="19"/>
        <v>179.69</v>
      </c>
      <c r="Q270" s="4" t="s">
        <v>22</v>
      </c>
      <c r="R270" s="4" t="str">
        <f t="shared" si="20"/>
        <v>193.77(179.69,209.45)</v>
      </c>
      <c r="S270" s="4"/>
      <c r="T270" s="4"/>
      <c r="U270" s="4"/>
    </row>
    <row r="271" hidden="1" spans="1:21">
      <c r="A271" s="1" t="s">
        <v>736</v>
      </c>
      <c r="B271" s="1" t="s">
        <v>120</v>
      </c>
      <c r="C271" s="1" t="s">
        <v>13</v>
      </c>
      <c r="D271" s="1" t="s">
        <v>27</v>
      </c>
      <c r="E271" s="1" t="s">
        <v>15</v>
      </c>
      <c r="F271" s="1" t="s">
        <v>23</v>
      </c>
      <c r="G271" s="1">
        <v>2021</v>
      </c>
      <c r="H271" s="6" t="s">
        <v>838</v>
      </c>
      <c r="I271" s="6" t="s">
        <v>839</v>
      </c>
      <c r="J271" s="6" t="s">
        <v>840</v>
      </c>
      <c r="K271" s="1"/>
      <c r="L271" s="4">
        <f t="shared" si="17"/>
        <v>453.38</v>
      </c>
      <c r="M271" s="4" t="s">
        <v>20</v>
      </c>
      <c r="N271" s="4">
        <f t="shared" si="18"/>
        <v>489.86</v>
      </c>
      <c r="O271" s="4" t="s">
        <v>21</v>
      </c>
      <c r="P271" s="4">
        <f t="shared" si="19"/>
        <v>420.73</v>
      </c>
      <c r="Q271" s="4" t="s">
        <v>22</v>
      </c>
      <c r="R271" s="4" t="str">
        <f t="shared" si="20"/>
        <v>453.38(420.73,489.86)</v>
      </c>
      <c r="S271" s="4"/>
      <c r="T271" s="4"/>
      <c r="U271" s="4"/>
    </row>
    <row r="272" hidden="1" spans="1:21">
      <c r="A272" s="1" t="s">
        <v>736</v>
      </c>
      <c r="B272" s="1" t="s">
        <v>12</v>
      </c>
      <c r="C272" s="1" t="s">
        <v>13</v>
      </c>
      <c r="D272" s="1" t="s">
        <v>14</v>
      </c>
      <c r="E272" s="1" t="s">
        <v>15</v>
      </c>
      <c r="F272" s="1" t="s">
        <v>16</v>
      </c>
      <c r="G272" s="1">
        <v>1991</v>
      </c>
      <c r="H272" s="6" t="s">
        <v>841</v>
      </c>
      <c r="I272" s="6" t="s">
        <v>842</v>
      </c>
      <c r="J272" s="6" t="s">
        <v>843</v>
      </c>
      <c r="K272" s="1"/>
      <c r="L272" s="4">
        <f t="shared" si="17"/>
        <v>2580336.49</v>
      </c>
      <c r="M272" s="4" t="s">
        <v>20</v>
      </c>
      <c r="N272" s="4">
        <f t="shared" si="18"/>
        <v>2818752.29</v>
      </c>
      <c r="O272" s="4" t="s">
        <v>21</v>
      </c>
      <c r="P272" s="4">
        <f t="shared" si="19"/>
        <v>2359632.82</v>
      </c>
      <c r="Q272" s="4" t="s">
        <v>22</v>
      </c>
      <c r="R272" s="4" t="str">
        <f t="shared" si="20"/>
        <v>2580336.49(2359632.82,2818752.29)</v>
      </c>
      <c r="S272" s="4"/>
      <c r="T272" s="4"/>
      <c r="U272" s="4"/>
    </row>
    <row r="273" hidden="1" spans="1:21">
      <c r="A273" s="1" t="s">
        <v>736</v>
      </c>
      <c r="B273" s="1" t="s">
        <v>12</v>
      </c>
      <c r="C273" s="1" t="s">
        <v>13</v>
      </c>
      <c r="D273" s="1" t="s">
        <v>14</v>
      </c>
      <c r="E273" s="1" t="s">
        <v>15</v>
      </c>
      <c r="F273" s="1" t="s">
        <v>23</v>
      </c>
      <c r="G273" s="1">
        <v>1991</v>
      </c>
      <c r="H273" s="6" t="s">
        <v>844</v>
      </c>
      <c r="I273" s="6" t="s">
        <v>845</v>
      </c>
      <c r="J273" s="6" t="s">
        <v>846</v>
      </c>
      <c r="K273" s="1"/>
      <c r="L273" s="4">
        <f t="shared" si="17"/>
        <v>147.24</v>
      </c>
      <c r="M273" s="4" t="s">
        <v>20</v>
      </c>
      <c r="N273" s="4">
        <f t="shared" si="18"/>
        <v>160.85</v>
      </c>
      <c r="O273" s="4" t="s">
        <v>21</v>
      </c>
      <c r="P273" s="4">
        <f t="shared" si="19"/>
        <v>134.65</v>
      </c>
      <c r="Q273" s="4" t="s">
        <v>22</v>
      </c>
      <c r="R273" s="4" t="str">
        <f t="shared" si="20"/>
        <v>147.24(134.65,160.85)</v>
      </c>
      <c r="S273" s="4"/>
      <c r="T273" s="4"/>
      <c r="U273" s="4"/>
    </row>
    <row r="274" hidden="1" spans="1:21">
      <c r="A274" s="1" t="s">
        <v>736</v>
      </c>
      <c r="B274" s="1" t="s">
        <v>12</v>
      </c>
      <c r="C274" s="1" t="s">
        <v>13</v>
      </c>
      <c r="D274" s="1" t="s">
        <v>14</v>
      </c>
      <c r="E274" s="1" t="s">
        <v>15</v>
      </c>
      <c r="F274" s="1" t="s">
        <v>16</v>
      </c>
      <c r="G274" s="1">
        <v>2021</v>
      </c>
      <c r="H274" s="6" t="s">
        <v>847</v>
      </c>
      <c r="I274" s="6" t="s">
        <v>848</v>
      </c>
      <c r="J274" s="6" t="s">
        <v>849</v>
      </c>
      <c r="K274" s="1"/>
      <c r="L274" s="4">
        <f t="shared" si="17"/>
        <v>7775867.22</v>
      </c>
      <c r="M274" s="4" t="s">
        <v>20</v>
      </c>
      <c r="N274" s="4">
        <f t="shared" si="18"/>
        <v>8475543.84</v>
      </c>
      <c r="O274" s="4" t="s">
        <v>21</v>
      </c>
      <c r="P274" s="4">
        <f t="shared" si="19"/>
        <v>7132580.36</v>
      </c>
      <c r="Q274" s="4" t="s">
        <v>22</v>
      </c>
      <c r="R274" s="4" t="str">
        <f t="shared" si="20"/>
        <v>7775867.22(7132580.36,8475543.84)</v>
      </c>
      <c r="S274" s="4"/>
      <c r="T274" s="4"/>
      <c r="U274" s="4"/>
    </row>
    <row r="275" hidden="1" spans="1:21">
      <c r="A275" s="1" t="s">
        <v>736</v>
      </c>
      <c r="B275" s="1" t="s">
        <v>12</v>
      </c>
      <c r="C275" s="1" t="s">
        <v>13</v>
      </c>
      <c r="D275" s="1" t="s">
        <v>14</v>
      </c>
      <c r="E275" s="1" t="s">
        <v>15</v>
      </c>
      <c r="F275" s="1" t="s">
        <v>23</v>
      </c>
      <c r="G275" s="1">
        <v>2021</v>
      </c>
      <c r="H275" s="6" t="s">
        <v>850</v>
      </c>
      <c r="I275" s="6" t="s">
        <v>851</v>
      </c>
      <c r="J275" s="6" t="s">
        <v>852</v>
      </c>
      <c r="K275" s="1"/>
      <c r="L275" s="4">
        <f t="shared" si="17"/>
        <v>317.57</v>
      </c>
      <c r="M275" s="4" t="s">
        <v>20</v>
      </c>
      <c r="N275" s="4">
        <f t="shared" si="18"/>
        <v>346.15</v>
      </c>
      <c r="O275" s="4" t="s">
        <v>21</v>
      </c>
      <c r="P275" s="4">
        <f t="shared" si="19"/>
        <v>291.3</v>
      </c>
      <c r="Q275" s="4" t="s">
        <v>22</v>
      </c>
      <c r="R275" s="4" t="str">
        <f t="shared" si="20"/>
        <v>317.57(291.3,346.15)</v>
      </c>
      <c r="S275" s="4"/>
      <c r="T275" s="4"/>
      <c r="U275" s="4"/>
    </row>
    <row r="276" hidden="1" spans="1:21">
      <c r="A276" s="1" t="s">
        <v>736</v>
      </c>
      <c r="B276" s="1" t="s">
        <v>12</v>
      </c>
      <c r="C276" s="1" t="s">
        <v>13</v>
      </c>
      <c r="D276" s="1" t="s">
        <v>27</v>
      </c>
      <c r="E276" s="1" t="s">
        <v>15</v>
      </c>
      <c r="F276" s="1" t="s">
        <v>23</v>
      </c>
      <c r="G276" s="1">
        <v>1991</v>
      </c>
      <c r="H276" s="6" t="s">
        <v>853</v>
      </c>
      <c r="I276" s="1">
        <v>199.9304636</v>
      </c>
      <c r="J276" s="6" t="s">
        <v>854</v>
      </c>
      <c r="K276" s="1"/>
      <c r="L276" s="4">
        <f t="shared" si="17"/>
        <v>182.98</v>
      </c>
      <c r="M276" s="4" t="s">
        <v>20</v>
      </c>
      <c r="N276" s="4">
        <f t="shared" si="18"/>
        <v>199.93</v>
      </c>
      <c r="O276" s="4" t="s">
        <v>21</v>
      </c>
      <c r="P276" s="4">
        <f t="shared" si="19"/>
        <v>166.85</v>
      </c>
      <c r="Q276" s="4" t="s">
        <v>22</v>
      </c>
      <c r="R276" s="4" t="str">
        <f t="shared" si="20"/>
        <v>182.98(166.85,199.93)</v>
      </c>
      <c r="S276" s="4"/>
      <c r="T276" s="4"/>
      <c r="U276" s="4"/>
    </row>
    <row r="277" hidden="1" spans="1:21">
      <c r="A277" s="1" t="s">
        <v>736</v>
      </c>
      <c r="B277" s="1" t="s">
        <v>12</v>
      </c>
      <c r="C277" s="1" t="s">
        <v>13</v>
      </c>
      <c r="D277" s="1" t="s">
        <v>27</v>
      </c>
      <c r="E277" s="1" t="s">
        <v>15</v>
      </c>
      <c r="F277" s="1" t="s">
        <v>23</v>
      </c>
      <c r="G277" s="1">
        <v>2021</v>
      </c>
      <c r="H277" s="6" t="s">
        <v>855</v>
      </c>
      <c r="I277" s="1">
        <v>302.9902334</v>
      </c>
      <c r="J277" s="6" t="s">
        <v>856</v>
      </c>
      <c r="K277" s="1"/>
      <c r="L277" s="4">
        <f t="shared" si="17"/>
        <v>279.22</v>
      </c>
      <c r="M277" s="4" t="s">
        <v>20</v>
      </c>
      <c r="N277" s="4">
        <f t="shared" si="18"/>
        <v>302.99</v>
      </c>
      <c r="O277" s="4" t="s">
        <v>21</v>
      </c>
      <c r="P277" s="4">
        <f t="shared" si="19"/>
        <v>258.12</v>
      </c>
      <c r="Q277" s="4" t="s">
        <v>22</v>
      </c>
      <c r="R277" s="4" t="str">
        <f t="shared" si="20"/>
        <v>279.22(258.12,302.99)</v>
      </c>
      <c r="S277" s="4"/>
      <c r="T277" s="4"/>
      <c r="U277" s="4"/>
    </row>
    <row r="278" hidden="1" spans="1:21">
      <c r="A278" s="1" t="s">
        <v>736</v>
      </c>
      <c r="B278" s="1" t="s">
        <v>140</v>
      </c>
      <c r="C278" s="1" t="s">
        <v>13</v>
      </c>
      <c r="D278" s="1" t="s">
        <v>14</v>
      </c>
      <c r="E278" s="1" t="s">
        <v>15</v>
      </c>
      <c r="F278" s="1" t="s">
        <v>16</v>
      </c>
      <c r="G278" s="1">
        <v>1991</v>
      </c>
      <c r="H278" s="6" t="s">
        <v>857</v>
      </c>
      <c r="I278" s="6" t="s">
        <v>858</v>
      </c>
      <c r="J278" s="6" t="s">
        <v>859</v>
      </c>
      <c r="K278" s="1"/>
      <c r="L278" s="4">
        <f t="shared" si="17"/>
        <v>2557861.68</v>
      </c>
      <c r="M278" s="4" t="s">
        <v>20</v>
      </c>
      <c r="N278" s="4">
        <f t="shared" si="18"/>
        <v>2824272.6</v>
      </c>
      <c r="O278" s="4" t="s">
        <v>21</v>
      </c>
      <c r="P278" s="4">
        <f t="shared" si="19"/>
        <v>2314673.05</v>
      </c>
      <c r="Q278" s="4" t="s">
        <v>22</v>
      </c>
      <c r="R278" s="4" t="str">
        <f t="shared" si="20"/>
        <v>2557861.68(2314673.05,2824272.6)</v>
      </c>
      <c r="S278" s="4"/>
      <c r="T278" s="4"/>
      <c r="U278" s="4"/>
    </row>
    <row r="279" hidden="1" spans="1:21">
      <c r="A279" s="1" t="s">
        <v>736</v>
      </c>
      <c r="B279" s="1" t="s">
        <v>140</v>
      </c>
      <c r="C279" s="1" t="s">
        <v>13</v>
      </c>
      <c r="D279" s="1" t="s">
        <v>14</v>
      </c>
      <c r="E279" s="1" t="s">
        <v>15</v>
      </c>
      <c r="F279" s="1" t="s">
        <v>23</v>
      </c>
      <c r="G279" s="1">
        <v>1991</v>
      </c>
      <c r="H279" s="6" t="s">
        <v>860</v>
      </c>
      <c r="I279" s="6" t="s">
        <v>861</v>
      </c>
      <c r="J279" s="6" t="s">
        <v>862</v>
      </c>
      <c r="K279" s="1"/>
      <c r="L279" s="4">
        <f t="shared" si="17"/>
        <v>149.18</v>
      </c>
      <c r="M279" s="4" t="s">
        <v>20</v>
      </c>
      <c r="N279" s="4">
        <f t="shared" si="18"/>
        <v>164.72</v>
      </c>
      <c r="O279" s="4" t="s">
        <v>21</v>
      </c>
      <c r="P279" s="4">
        <f t="shared" si="19"/>
        <v>135</v>
      </c>
      <c r="Q279" s="4" t="s">
        <v>22</v>
      </c>
      <c r="R279" s="4" t="str">
        <f t="shared" si="20"/>
        <v>149.18(135,164.72)</v>
      </c>
      <c r="S279" s="4"/>
      <c r="T279" s="4"/>
      <c r="U279" s="4"/>
    </row>
    <row r="280" hidden="1" spans="1:21">
      <c r="A280" s="1" t="s">
        <v>736</v>
      </c>
      <c r="B280" s="1" t="s">
        <v>140</v>
      </c>
      <c r="C280" s="1" t="s">
        <v>13</v>
      </c>
      <c r="D280" s="1" t="s">
        <v>14</v>
      </c>
      <c r="E280" s="1" t="s">
        <v>15</v>
      </c>
      <c r="F280" s="1" t="s">
        <v>16</v>
      </c>
      <c r="G280" s="1">
        <v>2021</v>
      </c>
      <c r="H280" s="6" t="s">
        <v>863</v>
      </c>
      <c r="I280" s="6" t="s">
        <v>864</v>
      </c>
      <c r="J280" s="6" t="s">
        <v>865</v>
      </c>
      <c r="K280" s="1"/>
      <c r="L280" s="4">
        <f t="shared" si="17"/>
        <v>6505131</v>
      </c>
      <c r="M280" s="4" t="s">
        <v>20</v>
      </c>
      <c r="N280" s="4">
        <f t="shared" si="18"/>
        <v>7135847.4</v>
      </c>
      <c r="O280" s="4" t="s">
        <v>21</v>
      </c>
      <c r="P280" s="4">
        <f t="shared" si="19"/>
        <v>5906492.14</v>
      </c>
      <c r="Q280" s="4" t="s">
        <v>22</v>
      </c>
      <c r="R280" s="4" t="str">
        <f t="shared" si="20"/>
        <v>6505131(5906492.14,7135847.4)</v>
      </c>
      <c r="S280" s="4"/>
      <c r="T280" s="4"/>
      <c r="U280" s="4"/>
    </row>
    <row r="281" hidden="1" spans="1:21">
      <c r="A281" s="1" t="s">
        <v>736</v>
      </c>
      <c r="B281" s="1" t="s">
        <v>140</v>
      </c>
      <c r="C281" s="1" t="s">
        <v>13</v>
      </c>
      <c r="D281" s="1" t="s">
        <v>14</v>
      </c>
      <c r="E281" s="1" t="s">
        <v>15</v>
      </c>
      <c r="F281" s="1" t="s">
        <v>23</v>
      </c>
      <c r="G281" s="1">
        <v>2021</v>
      </c>
      <c r="H281" s="6" t="s">
        <v>866</v>
      </c>
      <c r="I281" s="6" t="s">
        <v>867</v>
      </c>
      <c r="J281" s="6" t="s">
        <v>868</v>
      </c>
      <c r="K281" s="1"/>
      <c r="L281" s="4">
        <f t="shared" si="17"/>
        <v>297.72</v>
      </c>
      <c r="M281" s="4" t="s">
        <v>20</v>
      </c>
      <c r="N281" s="4">
        <f t="shared" si="18"/>
        <v>326.58</v>
      </c>
      <c r="O281" s="4" t="s">
        <v>21</v>
      </c>
      <c r="P281" s="4">
        <f t="shared" si="19"/>
        <v>270.32</v>
      </c>
      <c r="Q281" s="4" t="s">
        <v>22</v>
      </c>
      <c r="R281" s="4" t="str">
        <f t="shared" si="20"/>
        <v>297.72(270.32,326.58)</v>
      </c>
      <c r="S281" s="4"/>
      <c r="T281" s="4"/>
      <c r="U281" s="4"/>
    </row>
    <row r="282" hidden="1" spans="1:21">
      <c r="A282" s="1" t="s">
        <v>736</v>
      </c>
      <c r="B282" s="1" t="s">
        <v>140</v>
      </c>
      <c r="C282" s="1" t="s">
        <v>13</v>
      </c>
      <c r="D282" s="1" t="s">
        <v>27</v>
      </c>
      <c r="E282" s="1" t="s">
        <v>15</v>
      </c>
      <c r="F282" s="1" t="s">
        <v>23</v>
      </c>
      <c r="G282" s="1">
        <v>1991</v>
      </c>
      <c r="H282" s="6" t="s">
        <v>869</v>
      </c>
      <c r="I282" s="6" t="s">
        <v>870</v>
      </c>
      <c r="J282" s="6" t="s">
        <v>871</v>
      </c>
      <c r="K282" s="1"/>
      <c r="L282" s="4">
        <f t="shared" si="17"/>
        <v>169.28</v>
      </c>
      <c r="M282" s="4" t="s">
        <v>20</v>
      </c>
      <c r="N282" s="4">
        <f t="shared" si="18"/>
        <v>186.1</v>
      </c>
      <c r="O282" s="4" t="s">
        <v>21</v>
      </c>
      <c r="P282" s="4">
        <f t="shared" si="19"/>
        <v>152.15</v>
      </c>
      <c r="Q282" s="4" t="s">
        <v>22</v>
      </c>
      <c r="R282" s="4" t="str">
        <f t="shared" si="20"/>
        <v>169.28(152.15,186.1)</v>
      </c>
      <c r="S282" s="4"/>
      <c r="T282" s="4"/>
      <c r="U282" s="4"/>
    </row>
    <row r="283" hidden="1" spans="1:21">
      <c r="A283" s="1" t="s">
        <v>736</v>
      </c>
      <c r="B283" s="1" t="s">
        <v>140</v>
      </c>
      <c r="C283" s="1" t="s">
        <v>13</v>
      </c>
      <c r="D283" s="1" t="s">
        <v>27</v>
      </c>
      <c r="E283" s="1" t="s">
        <v>15</v>
      </c>
      <c r="F283" s="1" t="s">
        <v>23</v>
      </c>
      <c r="G283" s="1">
        <v>2021</v>
      </c>
      <c r="H283" s="6" t="s">
        <v>872</v>
      </c>
      <c r="I283" s="6" t="s">
        <v>873</v>
      </c>
      <c r="J283" s="6" t="s">
        <v>874</v>
      </c>
      <c r="K283" s="1"/>
      <c r="L283" s="4">
        <f t="shared" si="17"/>
        <v>246.76</v>
      </c>
      <c r="M283" s="4" t="s">
        <v>20</v>
      </c>
      <c r="N283" s="4">
        <f t="shared" si="18"/>
        <v>268.32</v>
      </c>
      <c r="O283" s="4" t="s">
        <v>21</v>
      </c>
      <c r="P283" s="4">
        <f t="shared" si="19"/>
        <v>227.42</v>
      </c>
      <c r="Q283" s="4" t="s">
        <v>22</v>
      </c>
      <c r="R283" s="4" t="str">
        <f t="shared" si="20"/>
        <v>246.76(227.42,268.32)</v>
      </c>
      <c r="S283" s="4"/>
      <c r="T283" s="4"/>
      <c r="U283" s="4"/>
    </row>
    <row r="284" hidden="1" spans="1:21">
      <c r="A284" s="1" t="s">
        <v>736</v>
      </c>
      <c r="B284" s="1" t="s">
        <v>100</v>
      </c>
      <c r="C284" s="1" t="s">
        <v>13</v>
      </c>
      <c r="D284" s="1" t="s">
        <v>14</v>
      </c>
      <c r="E284" s="1" t="s">
        <v>15</v>
      </c>
      <c r="F284" s="1" t="s">
        <v>16</v>
      </c>
      <c r="G284" s="1">
        <v>1991</v>
      </c>
      <c r="H284" s="6" t="s">
        <v>875</v>
      </c>
      <c r="I284" s="6" t="s">
        <v>876</v>
      </c>
      <c r="J284" s="6" t="s">
        <v>877</v>
      </c>
      <c r="K284" s="1"/>
      <c r="L284" s="4">
        <f t="shared" si="17"/>
        <v>1735455.6</v>
      </c>
      <c r="M284" s="4" t="s">
        <v>20</v>
      </c>
      <c r="N284" s="4">
        <f t="shared" si="18"/>
        <v>1894155.83</v>
      </c>
      <c r="O284" s="4" t="s">
        <v>21</v>
      </c>
      <c r="P284" s="4">
        <f t="shared" si="19"/>
        <v>1586049.18</v>
      </c>
      <c r="Q284" s="4" t="s">
        <v>22</v>
      </c>
      <c r="R284" s="4" t="str">
        <f t="shared" si="20"/>
        <v>1735455.6(1586049.18,1894155.83)</v>
      </c>
      <c r="S284" s="4"/>
      <c r="T284" s="4"/>
      <c r="U284" s="4"/>
    </row>
    <row r="285" hidden="1" spans="1:21">
      <c r="A285" s="1" t="s">
        <v>736</v>
      </c>
      <c r="B285" s="1" t="s">
        <v>100</v>
      </c>
      <c r="C285" s="1" t="s">
        <v>13</v>
      </c>
      <c r="D285" s="1" t="s">
        <v>14</v>
      </c>
      <c r="E285" s="1" t="s">
        <v>15</v>
      </c>
      <c r="F285" s="1" t="s">
        <v>23</v>
      </c>
      <c r="G285" s="1">
        <v>1991</v>
      </c>
      <c r="H285" s="6" t="s">
        <v>878</v>
      </c>
      <c r="I285" s="6" t="s">
        <v>879</v>
      </c>
      <c r="J285" s="6" t="s">
        <v>880</v>
      </c>
      <c r="K285" s="1"/>
      <c r="L285" s="4">
        <f t="shared" si="17"/>
        <v>161.37</v>
      </c>
      <c r="M285" s="4" t="s">
        <v>20</v>
      </c>
      <c r="N285" s="4">
        <f t="shared" si="18"/>
        <v>176.12</v>
      </c>
      <c r="O285" s="4" t="s">
        <v>21</v>
      </c>
      <c r="P285" s="4">
        <f t="shared" si="19"/>
        <v>147.47</v>
      </c>
      <c r="Q285" s="4" t="s">
        <v>22</v>
      </c>
      <c r="R285" s="4" t="str">
        <f t="shared" si="20"/>
        <v>161.37(147.47,176.12)</v>
      </c>
      <c r="S285" s="4"/>
      <c r="T285" s="4"/>
      <c r="U285" s="4"/>
    </row>
    <row r="286" hidden="1" spans="1:21">
      <c r="A286" s="1" t="s">
        <v>736</v>
      </c>
      <c r="B286" s="1" t="s">
        <v>100</v>
      </c>
      <c r="C286" s="1" t="s">
        <v>13</v>
      </c>
      <c r="D286" s="1" t="s">
        <v>14</v>
      </c>
      <c r="E286" s="1" t="s">
        <v>15</v>
      </c>
      <c r="F286" s="1" t="s">
        <v>16</v>
      </c>
      <c r="G286" s="1">
        <v>2021</v>
      </c>
      <c r="H286" s="6" t="s">
        <v>881</v>
      </c>
      <c r="I286" s="6" t="s">
        <v>882</v>
      </c>
      <c r="J286" s="6" t="s">
        <v>883</v>
      </c>
      <c r="K286" s="1"/>
      <c r="L286" s="4">
        <f t="shared" si="17"/>
        <v>4135227.79</v>
      </c>
      <c r="M286" s="4" t="s">
        <v>20</v>
      </c>
      <c r="N286" s="4">
        <f t="shared" si="18"/>
        <v>4512465.92</v>
      </c>
      <c r="O286" s="4" t="s">
        <v>21</v>
      </c>
      <c r="P286" s="4">
        <f t="shared" si="19"/>
        <v>3776896.63</v>
      </c>
      <c r="Q286" s="4" t="s">
        <v>22</v>
      </c>
      <c r="R286" s="4" t="str">
        <f t="shared" si="20"/>
        <v>4135227.79(3776896.63,4512465.92)</v>
      </c>
      <c r="S286" s="4"/>
      <c r="T286" s="4"/>
      <c r="U286" s="4"/>
    </row>
    <row r="287" hidden="1" spans="1:21">
      <c r="A287" s="1" t="s">
        <v>736</v>
      </c>
      <c r="B287" s="1" t="s">
        <v>100</v>
      </c>
      <c r="C287" s="1" t="s">
        <v>13</v>
      </c>
      <c r="D287" s="1" t="s">
        <v>14</v>
      </c>
      <c r="E287" s="1" t="s">
        <v>15</v>
      </c>
      <c r="F287" s="1" t="s">
        <v>23</v>
      </c>
      <c r="G287" s="1">
        <v>2021</v>
      </c>
      <c r="H287" s="6" t="s">
        <v>884</v>
      </c>
      <c r="I287" s="6" t="s">
        <v>885</v>
      </c>
      <c r="J287" s="6" t="s">
        <v>886</v>
      </c>
      <c r="K287" s="1"/>
      <c r="L287" s="4">
        <f t="shared" si="17"/>
        <v>317.11</v>
      </c>
      <c r="M287" s="4" t="s">
        <v>20</v>
      </c>
      <c r="N287" s="4">
        <f t="shared" si="18"/>
        <v>346.04</v>
      </c>
      <c r="O287" s="4" t="s">
        <v>21</v>
      </c>
      <c r="P287" s="4">
        <f t="shared" si="19"/>
        <v>289.63</v>
      </c>
      <c r="Q287" s="4" t="s">
        <v>22</v>
      </c>
      <c r="R287" s="4" t="str">
        <f t="shared" si="20"/>
        <v>317.11(289.63,346.04)</v>
      </c>
      <c r="S287" s="4"/>
      <c r="T287" s="4"/>
      <c r="U287" s="4"/>
    </row>
    <row r="288" hidden="1" spans="1:21">
      <c r="A288" s="1" t="s">
        <v>736</v>
      </c>
      <c r="B288" s="1" t="s">
        <v>100</v>
      </c>
      <c r="C288" s="1" t="s">
        <v>13</v>
      </c>
      <c r="D288" s="1" t="s">
        <v>27</v>
      </c>
      <c r="E288" s="1" t="s">
        <v>15</v>
      </c>
      <c r="F288" s="1" t="s">
        <v>23</v>
      </c>
      <c r="G288" s="1">
        <v>1991</v>
      </c>
      <c r="H288" s="6" t="s">
        <v>887</v>
      </c>
      <c r="I288" s="6" t="s">
        <v>888</v>
      </c>
      <c r="J288" s="6" t="s">
        <v>889</v>
      </c>
      <c r="K288" s="1"/>
      <c r="L288" s="4">
        <f t="shared" si="17"/>
        <v>158.37</v>
      </c>
      <c r="M288" s="4" t="s">
        <v>20</v>
      </c>
      <c r="N288" s="4">
        <f t="shared" si="18"/>
        <v>172.61</v>
      </c>
      <c r="O288" s="4" t="s">
        <v>21</v>
      </c>
      <c r="P288" s="4">
        <f t="shared" si="19"/>
        <v>144.95</v>
      </c>
      <c r="Q288" s="4" t="s">
        <v>22</v>
      </c>
      <c r="R288" s="4" t="str">
        <f t="shared" si="20"/>
        <v>158.37(144.95,172.61)</v>
      </c>
      <c r="S288" s="4"/>
      <c r="T288" s="4"/>
      <c r="U288" s="4"/>
    </row>
    <row r="289" hidden="1" spans="1:21">
      <c r="A289" s="1" t="s">
        <v>736</v>
      </c>
      <c r="B289" s="1" t="s">
        <v>100</v>
      </c>
      <c r="C289" s="1" t="s">
        <v>13</v>
      </c>
      <c r="D289" s="1" t="s">
        <v>27</v>
      </c>
      <c r="E289" s="1" t="s">
        <v>15</v>
      </c>
      <c r="F289" s="1" t="s">
        <v>23</v>
      </c>
      <c r="G289" s="1">
        <v>2021</v>
      </c>
      <c r="H289" s="6" t="s">
        <v>890</v>
      </c>
      <c r="I289" s="6" t="s">
        <v>891</v>
      </c>
      <c r="J289" s="6" t="s">
        <v>892</v>
      </c>
      <c r="K289" s="1"/>
      <c r="L289" s="4">
        <f t="shared" si="17"/>
        <v>250.53</v>
      </c>
      <c r="M289" s="4" t="s">
        <v>20</v>
      </c>
      <c r="N289" s="4">
        <f t="shared" si="18"/>
        <v>271.22</v>
      </c>
      <c r="O289" s="4" t="s">
        <v>21</v>
      </c>
      <c r="P289" s="4">
        <f t="shared" si="19"/>
        <v>231.09</v>
      </c>
      <c r="Q289" s="4" t="s">
        <v>22</v>
      </c>
      <c r="R289" s="4" t="str">
        <f t="shared" si="20"/>
        <v>250.53(231.09,271.22)</v>
      </c>
      <c r="S289" s="4"/>
      <c r="T289" s="4"/>
      <c r="U289" s="4"/>
    </row>
    <row r="290" hidden="1" spans="1:21">
      <c r="A290" s="1" t="s">
        <v>736</v>
      </c>
      <c r="B290" s="1" t="s">
        <v>110</v>
      </c>
      <c r="C290" s="1" t="s">
        <v>13</v>
      </c>
      <c r="D290" s="1" t="s">
        <v>14</v>
      </c>
      <c r="E290" s="1" t="s">
        <v>15</v>
      </c>
      <c r="F290" s="1" t="s">
        <v>16</v>
      </c>
      <c r="G290" s="1">
        <v>1991</v>
      </c>
      <c r="H290" s="6" t="s">
        <v>893</v>
      </c>
      <c r="I290" s="6" t="s">
        <v>894</v>
      </c>
      <c r="J290" s="6" t="s">
        <v>895</v>
      </c>
      <c r="K290" s="1"/>
      <c r="L290" s="4">
        <f t="shared" si="17"/>
        <v>406191.17</v>
      </c>
      <c r="M290" s="4" t="s">
        <v>20</v>
      </c>
      <c r="N290" s="4">
        <f t="shared" si="18"/>
        <v>438734.28</v>
      </c>
      <c r="O290" s="4" t="s">
        <v>21</v>
      </c>
      <c r="P290" s="4">
        <f t="shared" si="19"/>
        <v>374948.2</v>
      </c>
      <c r="Q290" s="4" t="s">
        <v>22</v>
      </c>
      <c r="R290" s="4" t="str">
        <f t="shared" si="20"/>
        <v>406191.17(374948.2,438734.28)</v>
      </c>
      <c r="S290" s="4"/>
      <c r="T290" s="4"/>
      <c r="U290" s="4"/>
    </row>
    <row r="291" hidden="1" spans="1:21">
      <c r="A291" s="1" t="s">
        <v>736</v>
      </c>
      <c r="B291" s="1" t="s">
        <v>110</v>
      </c>
      <c r="C291" s="1" t="s">
        <v>13</v>
      </c>
      <c r="D291" s="1" t="s">
        <v>14</v>
      </c>
      <c r="E291" s="1" t="s">
        <v>15</v>
      </c>
      <c r="F291" s="1" t="s">
        <v>23</v>
      </c>
      <c r="G291" s="1">
        <v>1991</v>
      </c>
      <c r="H291" s="1">
        <v>80.45523627</v>
      </c>
      <c r="I291" s="1">
        <v>86.90112553</v>
      </c>
      <c r="J291" s="1">
        <v>74.26686692</v>
      </c>
      <c r="K291" s="1"/>
      <c r="L291" s="4">
        <f t="shared" si="17"/>
        <v>80.46</v>
      </c>
      <c r="M291" s="4" t="s">
        <v>20</v>
      </c>
      <c r="N291" s="4">
        <f t="shared" si="18"/>
        <v>86.9</v>
      </c>
      <c r="O291" s="4" t="s">
        <v>21</v>
      </c>
      <c r="P291" s="4">
        <f t="shared" si="19"/>
        <v>74.27</v>
      </c>
      <c r="Q291" s="4" t="s">
        <v>22</v>
      </c>
      <c r="R291" s="4" t="str">
        <f t="shared" si="20"/>
        <v>80.46(74.27,86.9)</v>
      </c>
      <c r="S291" s="4"/>
      <c r="T291" s="4"/>
      <c r="U291" s="4"/>
    </row>
    <row r="292" hidden="1" spans="1:21">
      <c r="A292" s="1" t="s">
        <v>736</v>
      </c>
      <c r="B292" s="1" t="s">
        <v>110</v>
      </c>
      <c r="C292" s="1" t="s">
        <v>13</v>
      </c>
      <c r="D292" s="1" t="s">
        <v>14</v>
      </c>
      <c r="E292" s="1" t="s">
        <v>15</v>
      </c>
      <c r="F292" s="1" t="s">
        <v>16</v>
      </c>
      <c r="G292" s="1">
        <v>2021</v>
      </c>
      <c r="H292" s="6" t="s">
        <v>896</v>
      </c>
      <c r="I292" s="6" t="s">
        <v>897</v>
      </c>
      <c r="J292" s="6" t="s">
        <v>898</v>
      </c>
      <c r="K292" s="1"/>
      <c r="L292" s="4">
        <f t="shared" si="17"/>
        <v>1574272.35</v>
      </c>
      <c r="M292" s="4" t="s">
        <v>20</v>
      </c>
      <c r="N292" s="4">
        <f t="shared" si="18"/>
        <v>1696780.71</v>
      </c>
      <c r="O292" s="4" t="s">
        <v>21</v>
      </c>
      <c r="P292" s="4">
        <f t="shared" si="19"/>
        <v>1459947.49</v>
      </c>
      <c r="Q292" s="4" t="s">
        <v>22</v>
      </c>
      <c r="R292" s="4" t="str">
        <f t="shared" si="20"/>
        <v>1574272.35(1459947.49,1696780.71)</v>
      </c>
      <c r="S292" s="4"/>
      <c r="T292" s="4"/>
      <c r="U292" s="4"/>
    </row>
    <row r="293" hidden="1" spans="1:21">
      <c r="A293" s="1" t="s">
        <v>736</v>
      </c>
      <c r="B293" s="1" t="s">
        <v>110</v>
      </c>
      <c r="C293" s="1" t="s">
        <v>13</v>
      </c>
      <c r="D293" s="1" t="s">
        <v>14</v>
      </c>
      <c r="E293" s="1" t="s">
        <v>15</v>
      </c>
      <c r="F293" s="1" t="s">
        <v>23</v>
      </c>
      <c r="G293" s="1">
        <v>2021</v>
      </c>
      <c r="H293" s="6" t="s">
        <v>899</v>
      </c>
      <c r="I293" s="1">
        <v>149.7391174</v>
      </c>
      <c r="J293" s="6" t="s">
        <v>900</v>
      </c>
      <c r="K293" s="1"/>
      <c r="L293" s="4">
        <f t="shared" si="17"/>
        <v>138.93</v>
      </c>
      <c r="M293" s="4" t="s">
        <v>20</v>
      </c>
      <c r="N293" s="4">
        <f t="shared" si="18"/>
        <v>149.74</v>
      </c>
      <c r="O293" s="4" t="s">
        <v>21</v>
      </c>
      <c r="P293" s="4">
        <f t="shared" si="19"/>
        <v>128.84</v>
      </c>
      <c r="Q293" s="4" t="s">
        <v>22</v>
      </c>
      <c r="R293" s="4" t="str">
        <f t="shared" si="20"/>
        <v>138.93(128.84,149.74)</v>
      </c>
      <c r="S293" s="4"/>
      <c r="T293" s="4"/>
      <c r="U293" s="4"/>
    </row>
    <row r="294" hidden="1" spans="1:21">
      <c r="A294" s="1" t="s">
        <v>736</v>
      </c>
      <c r="B294" s="1" t="s">
        <v>110</v>
      </c>
      <c r="C294" s="1" t="s">
        <v>13</v>
      </c>
      <c r="D294" s="1" t="s">
        <v>27</v>
      </c>
      <c r="E294" s="1" t="s">
        <v>15</v>
      </c>
      <c r="F294" s="1" t="s">
        <v>23</v>
      </c>
      <c r="G294" s="1">
        <v>1991</v>
      </c>
      <c r="H294" s="6" t="s">
        <v>901</v>
      </c>
      <c r="I294" s="6" t="s">
        <v>902</v>
      </c>
      <c r="J294" s="6" t="s">
        <v>903</v>
      </c>
      <c r="K294" s="1"/>
      <c r="L294" s="4">
        <f t="shared" si="17"/>
        <v>150.19</v>
      </c>
      <c r="M294" s="4" t="s">
        <v>20</v>
      </c>
      <c r="N294" s="4">
        <f t="shared" si="18"/>
        <v>162.87</v>
      </c>
      <c r="O294" s="4" t="s">
        <v>21</v>
      </c>
      <c r="P294" s="4">
        <f t="shared" si="19"/>
        <v>139.13</v>
      </c>
      <c r="Q294" s="4" t="s">
        <v>22</v>
      </c>
      <c r="R294" s="4" t="str">
        <f t="shared" si="20"/>
        <v>150.19(139.13,162.87)</v>
      </c>
      <c r="S294" s="4"/>
      <c r="T294" s="4"/>
      <c r="U294" s="4"/>
    </row>
    <row r="295" hidden="1" spans="1:21">
      <c r="A295" s="1" t="s">
        <v>736</v>
      </c>
      <c r="B295" s="1" t="s">
        <v>110</v>
      </c>
      <c r="C295" s="1" t="s">
        <v>13</v>
      </c>
      <c r="D295" s="1" t="s">
        <v>27</v>
      </c>
      <c r="E295" s="1" t="s">
        <v>15</v>
      </c>
      <c r="F295" s="1" t="s">
        <v>23</v>
      </c>
      <c r="G295" s="1">
        <v>2021</v>
      </c>
      <c r="H295" s="6" t="s">
        <v>904</v>
      </c>
      <c r="I295" s="6" t="s">
        <v>905</v>
      </c>
      <c r="J295" s="6" t="s">
        <v>906</v>
      </c>
      <c r="K295" s="1"/>
      <c r="L295" s="4">
        <f t="shared" si="17"/>
        <v>228.36</v>
      </c>
      <c r="M295" s="4" t="s">
        <v>20</v>
      </c>
      <c r="N295" s="4">
        <f t="shared" si="18"/>
        <v>246.33</v>
      </c>
      <c r="O295" s="4" t="s">
        <v>21</v>
      </c>
      <c r="P295" s="4">
        <f t="shared" si="19"/>
        <v>212.05</v>
      </c>
      <c r="Q295" s="4" t="s">
        <v>22</v>
      </c>
      <c r="R295" s="4" t="str">
        <f t="shared" si="20"/>
        <v>228.36(212.05,246.33)</v>
      </c>
      <c r="S295" s="4"/>
      <c r="T295" s="4"/>
      <c r="U295" s="4"/>
    </row>
    <row r="296" hidden="1" spans="1:21">
      <c r="A296" s="1" t="s">
        <v>736</v>
      </c>
      <c r="B296" s="1" t="s">
        <v>130</v>
      </c>
      <c r="C296" s="1" t="s">
        <v>13</v>
      </c>
      <c r="D296" s="1" t="s">
        <v>14</v>
      </c>
      <c r="E296" s="1" t="s">
        <v>15</v>
      </c>
      <c r="F296" s="1" t="s">
        <v>16</v>
      </c>
      <c r="G296" s="1">
        <v>1991</v>
      </c>
      <c r="H296" s="6" t="s">
        <v>907</v>
      </c>
      <c r="I296" s="6" t="s">
        <v>908</v>
      </c>
      <c r="J296" s="6" t="s">
        <v>909</v>
      </c>
      <c r="K296" s="1"/>
      <c r="L296" s="4">
        <f t="shared" ref="L296:L313" si="21">ROUND(H296,2)</f>
        <v>1317377.7</v>
      </c>
      <c r="M296" s="4" t="s">
        <v>20</v>
      </c>
      <c r="N296" s="4">
        <f t="shared" si="18"/>
        <v>1431712.99</v>
      </c>
      <c r="O296" s="4" t="s">
        <v>21</v>
      </c>
      <c r="P296" s="4">
        <f t="shared" si="19"/>
        <v>1216958.43</v>
      </c>
      <c r="Q296" s="4" t="s">
        <v>22</v>
      </c>
      <c r="R296" s="4" t="str">
        <f t="shared" si="20"/>
        <v>1317377.7(1216958.43,1431712.99)</v>
      </c>
      <c r="S296" s="4"/>
      <c r="T296" s="4"/>
      <c r="U296" s="4"/>
    </row>
    <row r="297" hidden="1" spans="1:21">
      <c r="A297" s="1" t="s">
        <v>736</v>
      </c>
      <c r="B297" s="1" t="s">
        <v>130</v>
      </c>
      <c r="C297" s="1" t="s">
        <v>13</v>
      </c>
      <c r="D297" s="1" t="s">
        <v>14</v>
      </c>
      <c r="E297" s="1" t="s">
        <v>15</v>
      </c>
      <c r="F297" s="1" t="s">
        <v>23</v>
      </c>
      <c r="G297" s="1">
        <v>1991</v>
      </c>
      <c r="H297" s="6" t="s">
        <v>910</v>
      </c>
      <c r="I297" s="6" t="s">
        <v>911</v>
      </c>
      <c r="J297" s="6" t="s">
        <v>912</v>
      </c>
      <c r="K297" s="1"/>
      <c r="L297" s="4">
        <f t="shared" si="21"/>
        <v>111.31</v>
      </c>
      <c r="M297" s="4" t="s">
        <v>20</v>
      </c>
      <c r="N297" s="4">
        <f t="shared" si="18"/>
        <v>120.97</v>
      </c>
      <c r="O297" s="4" t="s">
        <v>21</v>
      </c>
      <c r="P297" s="4">
        <f t="shared" si="19"/>
        <v>102.82</v>
      </c>
      <c r="Q297" s="4" t="s">
        <v>22</v>
      </c>
      <c r="R297" s="4" t="str">
        <f t="shared" si="20"/>
        <v>111.31(102.82,120.97)</v>
      </c>
      <c r="S297" s="4"/>
      <c r="T297" s="4"/>
      <c r="U297" s="4"/>
    </row>
    <row r="298" hidden="1" spans="1:21">
      <c r="A298" s="1" t="s">
        <v>736</v>
      </c>
      <c r="B298" s="1" t="s">
        <v>130</v>
      </c>
      <c r="C298" s="1" t="s">
        <v>13</v>
      </c>
      <c r="D298" s="1" t="s">
        <v>14</v>
      </c>
      <c r="E298" s="1" t="s">
        <v>15</v>
      </c>
      <c r="F298" s="1" t="s">
        <v>16</v>
      </c>
      <c r="G298" s="1">
        <v>2021</v>
      </c>
      <c r="H298" s="6" t="s">
        <v>913</v>
      </c>
      <c r="I298" s="6" t="s">
        <v>914</v>
      </c>
      <c r="J298" s="6" t="s">
        <v>915</v>
      </c>
      <c r="K298" s="1"/>
      <c r="L298" s="4">
        <f t="shared" si="21"/>
        <v>5214428.35</v>
      </c>
      <c r="M298" s="4" t="s">
        <v>20</v>
      </c>
      <c r="N298" s="4">
        <f t="shared" si="18"/>
        <v>5636512.27</v>
      </c>
      <c r="O298" s="4" t="s">
        <v>21</v>
      </c>
      <c r="P298" s="4">
        <f t="shared" si="19"/>
        <v>4811617.53</v>
      </c>
      <c r="Q298" s="4" t="s">
        <v>22</v>
      </c>
      <c r="R298" s="4" t="str">
        <f t="shared" si="20"/>
        <v>5214428.35(4811617.53,5636512.27)</v>
      </c>
      <c r="S298" s="4"/>
      <c r="T298" s="4"/>
      <c r="U298" s="4"/>
    </row>
    <row r="299" hidden="1" spans="1:21">
      <c r="A299" s="1" t="s">
        <v>736</v>
      </c>
      <c r="B299" s="1" t="s">
        <v>130</v>
      </c>
      <c r="C299" s="1" t="s">
        <v>13</v>
      </c>
      <c r="D299" s="1" t="s">
        <v>14</v>
      </c>
      <c r="E299" s="1" t="s">
        <v>15</v>
      </c>
      <c r="F299" s="1" t="s">
        <v>23</v>
      </c>
      <c r="G299" s="1">
        <v>2021</v>
      </c>
      <c r="H299" s="6" t="s">
        <v>916</v>
      </c>
      <c r="I299" s="6" t="s">
        <v>917</v>
      </c>
      <c r="J299" s="6" t="s">
        <v>918</v>
      </c>
      <c r="K299" s="1"/>
      <c r="L299" s="4">
        <f t="shared" si="21"/>
        <v>271.43</v>
      </c>
      <c r="M299" s="4" t="s">
        <v>20</v>
      </c>
      <c r="N299" s="4">
        <f t="shared" si="18"/>
        <v>293.4</v>
      </c>
      <c r="O299" s="4" t="s">
        <v>21</v>
      </c>
      <c r="P299" s="4">
        <f t="shared" si="19"/>
        <v>250.46</v>
      </c>
      <c r="Q299" s="4" t="s">
        <v>22</v>
      </c>
      <c r="R299" s="4" t="str">
        <f t="shared" si="20"/>
        <v>271.43(250.46,293.4)</v>
      </c>
      <c r="S299" s="4"/>
      <c r="T299" s="4"/>
      <c r="U299" s="4"/>
    </row>
    <row r="300" hidden="1" spans="1:21">
      <c r="A300" s="1" t="s">
        <v>736</v>
      </c>
      <c r="B300" s="1" t="s">
        <v>130</v>
      </c>
      <c r="C300" s="1" t="s">
        <v>13</v>
      </c>
      <c r="D300" s="1" t="s">
        <v>27</v>
      </c>
      <c r="E300" s="1" t="s">
        <v>15</v>
      </c>
      <c r="F300" s="1" t="s">
        <v>23</v>
      </c>
      <c r="G300" s="1">
        <v>1991</v>
      </c>
      <c r="H300" s="6" t="s">
        <v>919</v>
      </c>
      <c r="I300" s="6" t="s">
        <v>920</v>
      </c>
      <c r="J300" s="6" t="s">
        <v>921</v>
      </c>
      <c r="K300" s="1"/>
      <c r="L300" s="4">
        <f t="shared" si="21"/>
        <v>160.64</v>
      </c>
      <c r="M300" s="4" t="s">
        <v>20</v>
      </c>
      <c r="N300" s="4">
        <f t="shared" si="18"/>
        <v>175.08</v>
      </c>
      <c r="O300" s="4" t="s">
        <v>21</v>
      </c>
      <c r="P300" s="4">
        <f t="shared" si="19"/>
        <v>148.21</v>
      </c>
      <c r="Q300" s="4" t="s">
        <v>22</v>
      </c>
      <c r="R300" s="4" t="str">
        <f t="shared" si="20"/>
        <v>160.64(148.21,175.08)</v>
      </c>
      <c r="S300" s="4"/>
      <c r="T300" s="4"/>
      <c r="U300" s="4"/>
    </row>
    <row r="301" hidden="1" spans="1:21">
      <c r="A301" s="1" t="s">
        <v>736</v>
      </c>
      <c r="B301" s="1" t="s">
        <v>130</v>
      </c>
      <c r="C301" s="1" t="s">
        <v>13</v>
      </c>
      <c r="D301" s="1" t="s">
        <v>27</v>
      </c>
      <c r="E301" s="1" t="s">
        <v>15</v>
      </c>
      <c r="F301" s="1" t="s">
        <v>23</v>
      </c>
      <c r="G301" s="1">
        <v>2021</v>
      </c>
      <c r="H301" s="6" t="s">
        <v>922</v>
      </c>
      <c r="I301" s="6" t="s">
        <v>923</v>
      </c>
      <c r="J301" s="6" t="s">
        <v>924</v>
      </c>
      <c r="K301" s="1"/>
      <c r="L301" s="4">
        <f t="shared" si="21"/>
        <v>293.83</v>
      </c>
      <c r="M301" s="4" t="s">
        <v>20</v>
      </c>
      <c r="N301" s="4">
        <f t="shared" si="18"/>
        <v>317.37</v>
      </c>
      <c r="O301" s="4" t="s">
        <v>21</v>
      </c>
      <c r="P301" s="4">
        <f t="shared" si="19"/>
        <v>272.02</v>
      </c>
      <c r="Q301" s="4" t="s">
        <v>22</v>
      </c>
      <c r="R301" s="4" t="str">
        <f t="shared" si="20"/>
        <v>293.83(272.02,317.37)</v>
      </c>
      <c r="S301" s="4"/>
      <c r="T301" s="4"/>
      <c r="U301" s="4"/>
    </row>
    <row r="302" hidden="1" spans="1:21">
      <c r="A302" s="1" t="s">
        <v>736</v>
      </c>
      <c r="B302" s="1" t="s">
        <v>31</v>
      </c>
      <c r="C302" s="1" t="s">
        <v>13</v>
      </c>
      <c r="D302" s="1" t="s">
        <v>14</v>
      </c>
      <c r="E302" s="1" t="s">
        <v>15</v>
      </c>
      <c r="F302" s="1" t="s">
        <v>16</v>
      </c>
      <c r="G302" s="1">
        <v>1991</v>
      </c>
      <c r="H302" s="6" t="s">
        <v>925</v>
      </c>
      <c r="I302" s="6" t="s">
        <v>926</v>
      </c>
      <c r="J302" s="6" t="s">
        <v>927</v>
      </c>
      <c r="K302" s="1"/>
      <c r="L302" s="4">
        <f t="shared" si="21"/>
        <v>462424.21</v>
      </c>
      <c r="M302" s="4" t="s">
        <v>20</v>
      </c>
      <c r="N302" s="4">
        <f t="shared" si="18"/>
        <v>502353.95</v>
      </c>
      <c r="O302" s="4" t="s">
        <v>21</v>
      </c>
      <c r="P302" s="4">
        <f t="shared" si="19"/>
        <v>427623.06</v>
      </c>
      <c r="Q302" s="4" t="s">
        <v>22</v>
      </c>
      <c r="R302" s="4" t="str">
        <f t="shared" si="20"/>
        <v>462424.21(427623.06,502353.95)</v>
      </c>
      <c r="S302" s="4"/>
      <c r="T302" s="4"/>
      <c r="U302" s="4"/>
    </row>
    <row r="303" hidden="1" spans="1:21">
      <c r="A303" s="1" t="s">
        <v>736</v>
      </c>
      <c r="B303" s="1" t="s">
        <v>31</v>
      </c>
      <c r="C303" s="1" t="s">
        <v>13</v>
      </c>
      <c r="D303" s="1" t="s">
        <v>14</v>
      </c>
      <c r="E303" s="1" t="s">
        <v>15</v>
      </c>
      <c r="F303" s="1" t="s">
        <v>23</v>
      </c>
      <c r="G303" s="1">
        <v>1991</v>
      </c>
      <c r="H303" s="1">
        <v>90.08568737</v>
      </c>
      <c r="I303" s="6" t="s">
        <v>928</v>
      </c>
      <c r="J303" s="1">
        <v>83.30601334</v>
      </c>
      <c r="K303" s="1"/>
      <c r="L303" s="4">
        <f t="shared" si="21"/>
        <v>90.09</v>
      </c>
      <c r="M303" s="4" t="s">
        <v>20</v>
      </c>
      <c r="N303" s="4">
        <f t="shared" si="18"/>
        <v>97.86</v>
      </c>
      <c r="O303" s="4" t="s">
        <v>21</v>
      </c>
      <c r="P303" s="4">
        <f t="shared" si="19"/>
        <v>83.31</v>
      </c>
      <c r="Q303" s="4" t="s">
        <v>22</v>
      </c>
      <c r="R303" s="4" t="str">
        <f t="shared" si="20"/>
        <v>90.09(83.31,97.86)</v>
      </c>
      <c r="S303" s="4"/>
      <c r="T303" s="4"/>
      <c r="U303" s="4"/>
    </row>
    <row r="304" hidden="1" spans="1:21">
      <c r="A304" s="1" t="s">
        <v>736</v>
      </c>
      <c r="B304" s="1" t="s">
        <v>31</v>
      </c>
      <c r="C304" s="1" t="s">
        <v>13</v>
      </c>
      <c r="D304" s="1" t="s">
        <v>14</v>
      </c>
      <c r="E304" s="1" t="s">
        <v>15</v>
      </c>
      <c r="F304" s="1" t="s">
        <v>16</v>
      </c>
      <c r="G304" s="1">
        <v>2021</v>
      </c>
      <c r="H304" s="6" t="s">
        <v>929</v>
      </c>
      <c r="I304" s="6" t="s">
        <v>930</v>
      </c>
      <c r="J304" s="6" t="s">
        <v>931</v>
      </c>
      <c r="K304" s="1"/>
      <c r="L304" s="4">
        <f t="shared" si="21"/>
        <v>1831462.17</v>
      </c>
      <c r="M304" s="4" t="s">
        <v>20</v>
      </c>
      <c r="N304" s="4">
        <f t="shared" si="18"/>
        <v>1987875.5</v>
      </c>
      <c r="O304" s="4" t="s">
        <v>21</v>
      </c>
      <c r="P304" s="4">
        <f t="shared" si="19"/>
        <v>1693032.6</v>
      </c>
      <c r="Q304" s="4" t="s">
        <v>22</v>
      </c>
      <c r="R304" s="4" t="str">
        <f t="shared" si="20"/>
        <v>1831462.17(1693032.6,1987875.5)</v>
      </c>
      <c r="S304" s="4"/>
      <c r="T304" s="4"/>
      <c r="U304" s="4"/>
    </row>
    <row r="305" hidden="1" spans="1:21">
      <c r="A305" s="1" t="s">
        <v>736</v>
      </c>
      <c r="B305" s="1" t="s">
        <v>31</v>
      </c>
      <c r="C305" s="1" t="s">
        <v>13</v>
      </c>
      <c r="D305" s="1" t="s">
        <v>14</v>
      </c>
      <c r="E305" s="1" t="s">
        <v>15</v>
      </c>
      <c r="F305" s="1" t="s">
        <v>23</v>
      </c>
      <c r="G305" s="1">
        <v>2021</v>
      </c>
      <c r="H305" s="6" t="s">
        <v>932</v>
      </c>
      <c r="I305" s="6" t="s">
        <v>933</v>
      </c>
      <c r="J305" s="1">
        <v>151.5177179</v>
      </c>
      <c r="K305" s="1"/>
      <c r="L305" s="4">
        <f t="shared" si="21"/>
        <v>163.91</v>
      </c>
      <c r="M305" s="4" t="s">
        <v>20</v>
      </c>
      <c r="N305" s="4">
        <f t="shared" si="18"/>
        <v>177.9</v>
      </c>
      <c r="O305" s="4" t="s">
        <v>21</v>
      </c>
      <c r="P305" s="4">
        <f t="shared" si="19"/>
        <v>151.52</v>
      </c>
      <c r="Q305" s="4" t="s">
        <v>22</v>
      </c>
      <c r="R305" s="4" t="str">
        <f t="shared" si="20"/>
        <v>163.91(151.52,177.9)</v>
      </c>
      <c r="S305" s="4"/>
      <c r="T305" s="4"/>
      <c r="U305" s="4"/>
    </row>
    <row r="306" hidden="1" spans="1:21">
      <c r="A306" s="1" t="s">
        <v>736</v>
      </c>
      <c r="B306" s="1" t="s">
        <v>31</v>
      </c>
      <c r="C306" s="1" t="s">
        <v>13</v>
      </c>
      <c r="D306" s="1" t="s">
        <v>27</v>
      </c>
      <c r="E306" s="1" t="s">
        <v>15</v>
      </c>
      <c r="F306" s="1" t="s">
        <v>23</v>
      </c>
      <c r="G306" s="1">
        <v>1991</v>
      </c>
      <c r="H306" s="1">
        <v>153.8506691</v>
      </c>
      <c r="I306" s="1">
        <v>166.5937979</v>
      </c>
      <c r="J306" s="6" t="s">
        <v>934</v>
      </c>
      <c r="K306" s="1"/>
      <c r="L306" s="4">
        <f t="shared" si="21"/>
        <v>153.85</v>
      </c>
      <c r="M306" s="4" t="s">
        <v>20</v>
      </c>
      <c r="N306" s="4">
        <f t="shared" si="18"/>
        <v>166.59</v>
      </c>
      <c r="O306" s="4" t="s">
        <v>21</v>
      </c>
      <c r="P306" s="4">
        <f t="shared" si="19"/>
        <v>142.24</v>
      </c>
      <c r="Q306" s="4" t="s">
        <v>22</v>
      </c>
      <c r="R306" s="4" t="str">
        <f t="shared" si="20"/>
        <v>153.85(142.24,166.59)</v>
      </c>
      <c r="S306" s="4"/>
      <c r="T306" s="4"/>
      <c r="U306" s="4"/>
    </row>
    <row r="307" hidden="1" spans="1:21">
      <c r="A307" s="1" t="s">
        <v>736</v>
      </c>
      <c r="B307" s="1" t="s">
        <v>31</v>
      </c>
      <c r="C307" s="1" t="s">
        <v>13</v>
      </c>
      <c r="D307" s="1" t="s">
        <v>27</v>
      </c>
      <c r="E307" s="1" t="s">
        <v>15</v>
      </c>
      <c r="F307" s="1" t="s">
        <v>23</v>
      </c>
      <c r="G307" s="1">
        <v>2021</v>
      </c>
      <c r="H307" s="6" t="s">
        <v>935</v>
      </c>
      <c r="I307" s="6" t="s">
        <v>936</v>
      </c>
      <c r="J307" s="6" t="s">
        <v>937</v>
      </c>
      <c r="K307" s="1"/>
      <c r="L307" s="4">
        <f t="shared" si="21"/>
        <v>240.7</v>
      </c>
      <c r="M307" s="4" t="s">
        <v>20</v>
      </c>
      <c r="N307" s="4">
        <f t="shared" si="18"/>
        <v>260.54</v>
      </c>
      <c r="O307" s="4" t="s">
        <v>21</v>
      </c>
      <c r="P307" s="4">
        <f t="shared" si="19"/>
        <v>222.66</v>
      </c>
      <c r="Q307" s="4" t="s">
        <v>22</v>
      </c>
      <c r="R307" s="4" t="str">
        <f t="shared" si="20"/>
        <v>240.7(222.66,260.54)</v>
      </c>
      <c r="S307" s="4"/>
      <c r="T307" s="4"/>
      <c r="U307" s="4"/>
    </row>
    <row r="308" hidden="1" spans="1:21">
      <c r="A308" s="1" t="s">
        <v>736</v>
      </c>
      <c r="B308" s="1" t="s">
        <v>81</v>
      </c>
      <c r="C308" s="1" t="s">
        <v>13</v>
      </c>
      <c r="D308" s="1" t="s">
        <v>14</v>
      </c>
      <c r="E308" s="1" t="s">
        <v>15</v>
      </c>
      <c r="F308" s="1" t="s">
        <v>16</v>
      </c>
      <c r="G308" s="1">
        <v>1991</v>
      </c>
      <c r="H308" s="6" t="s">
        <v>938</v>
      </c>
      <c r="I308" s="6" t="s">
        <v>939</v>
      </c>
      <c r="J308" s="6" t="s">
        <v>940</v>
      </c>
      <c r="K308" s="1"/>
      <c r="L308" s="4">
        <f t="shared" si="21"/>
        <v>1672544.17</v>
      </c>
      <c r="M308" s="4" t="s">
        <v>20</v>
      </c>
      <c r="N308" s="4">
        <f t="shared" si="18"/>
        <v>1808133.4</v>
      </c>
      <c r="O308" s="4" t="s">
        <v>21</v>
      </c>
      <c r="P308" s="4">
        <f t="shared" si="19"/>
        <v>1543947.07</v>
      </c>
      <c r="Q308" s="4" t="s">
        <v>22</v>
      </c>
      <c r="R308" s="4" t="str">
        <f t="shared" si="20"/>
        <v>1672544.17(1543947.07,1808133.4)</v>
      </c>
      <c r="S308" s="4"/>
      <c r="T308" s="4"/>
      <c r="U308" s="4"/>
    </row>
    <row r="309" hidden="1" spans="1:21">
      <c r="A309" s="1" t="s">
        <v>736</v>
      </c>
      <c r="B309" s="1" t="s">
        <v>81</v>
      </c>
      <c r="C309" s="1" t="s">
        <v>13</v>
      </c>
      <c r="D309" s="1" t="s">
        <v>14</v>
      </c>
      <c r="E309" s="1" t="s">
        <v>15</v>
      </c>
      <c r="F309" s="1" t="s">
        <v>23</v>
      </c>
      <c r="G309" s="1">
        <v>1991</v>
      </c>
      <c r="H309" s="6" t="s">
        <v>941</v>
      </c>
      <c r="I309" s="6" t="s">
        <v>942</v>
      </c>
      <c r="J309" s="6" t="s">
        <v>943</v>
      </c>
      <c r="K309" s="1"/>
      <c r="L309" s="4">
        <f t="shared" si="21"/>
        <v>188.63</v>
      </c>
      <c r="M309" s="4" t="s">
        <v>20</v>
      </c>
      <c r="N309" s="4">
        <f t="shared" si="18"/>
        <v>203.93</v>
      </c>
      <c r="O309" s="4" t="s">
        <v>21</v>
      </c>
      <c r="P309" s="4">
        <f t="shared" si="19"/>
        <v>174.13</v>
      </c>
      <c r="Q309" s="4" t="s">
        <v>22</v>
      </c>
      <c r="R309" s="4" t="str">
        <f t="shared" si="20"/>
        <v>188.63(174.13,203.93)</v>
      </c>
      <c r="S309" s="4"/>
      <c r="T309" s="4"/>
      <c r="U309" s="4"/>
    </row>
    <row r="310" hidden="1" spans="1:21">
      <c r="A310" s="1" t="s">
        <v>736</v>
      </c>
      <c r="B310" s="1" t="s">
        <v>81</v>
      </c>
      <c r="C310" s="1" t="s">
        <v>13</v>
      </c>
      <c r="D310" s="1" t="s">
        <v>14</v>
      </c>
      <c r="E310" s="1" t="s">
        <v>15</v>
      </c>
      <c r="F310" s="1" t="s">
        <v>16</v>
      </c>
      <c r="G310" s="1">
        <v>2021</v>
      </c>
      <c r="H310" s="6" t="s">
        <v>944</v>
      </c>
      <c r="I310" s="6" t="s">
        <v>945</v>
      </c>
      <c r="J310" s="6" t="s">
        <v>946</v>
      </c>
      <c r="K310" s="1"/>
      <c r="L310" s="4">
        <f t="shared" si="21"/>
        <v>4929873.37</v>
      </c>
      <c r="M310" s="4" t="s">
        <v>20</v>
      </c>
      <c r="N310" s="4">
        <f t="shared" si="18"/>
        <v>5266838.35</v>
      </c>
      <c r="O310" s="4" t="s">
        <v>21</v>
      </c>
      <c r="P310" s="4">
        <f t="shared" si="19"/>
        <v>4603212.81</v>
      </c>
      <c r="Q310" s="4" t="s">
        <v>22</v>
      </c>
      <c r="R310" s="4" t="str">
        <f t="shared" si="20"/>
        <v>4929873.37(4603212.81,5266838.35)</v>
      </c>
      <c r="S310" s="4"/>
      <c r="T310" s="4"/>
      <c r="U310" s="4"/>
    </row>
    <row r="311" hidden="1" spans="1:21">
      <c r="A311" s="1" t="s">
        <v>736</v>
      </c>
      <c r="B311" s="1" t="s">
        <v>81</v>
      </c>
      <c r="C311" s="1" t="s">
        <v>13</v>
      </c>
      <c r="D311" s="1" t="s">
        <v>14</v>
      </c>
      <c r="E311" s="1" t="s">
        <v>15</v>
      </c>
      <c r="F311" s="1" t="s">
        <v>23</v>
      </c>
      <c r="G311" s="1">
        <v>2021</v>
      </c>
      <c r="H311" s="6" t="s">
        <v>947</v>
      </c>
      <c r="I311" s="6" t="s">
        <v>948</v>
      </c>
      <c r="J311" s="6" t="s">
        <v>949</v>
      </c>
      <c r="K311" s="1"/>
      <c r="L311" s="4">
        <f t="shared" si="21"/>
        <v>450.61</v>
      </c>
      <c r="M311" s="4" t="s">
        <v>20</v>
      </c>
      <c r="N311" s="4">
        <f t="shared" si="18"/>
        <v>481.41</v>
      </c>
      <c r="O311" s="4" t="s">
        <v>21</v>
      </c>
      <c r="P311" s="4">
        <f t="shared" si="19"/>
        <v>420.75</v>
      </c>
      <c r="Q311" s="4" t="s">
        <v>22</v>
      </c>
      <c r="R311" s="4" t="str">
        <f t="shared" si="20"/>
        <v>450.61(420.75,481.41)</v>
      </c>
      <c r="S311" s="4"/>
      <c r="T311" s="4"/>
      <c r="U311" s="4"/>
    </row>
    <row r="312" hidden="1" spans="1:21">
      <c r="A312" s="1" t="s">
        <v>736</v>
      </c>
      <c r="B312" s="1" t="s">
        <v>81</v>
      </c>
      <c r="C312" s="1" t="s">
        <v>13</v>
      </c>
      <c r="D312" s="1" t="s">
        <v>27</v>
      </c>
      <c r="E312" s="1" t="s">
        <v>15</v>
      </c>
      <c r="F312" s="1" t="s">
        <v>23</v>
      </c>
      <c r="G312" s="1">
        <v>1991</v>
      </c>
      <c r="H312" s="6" t="s">
        <v>950</v>
      </c>
      <c r="I312" s="1">
        <v>177.7852612</v>
      </c>
      <c r="J312" s="6" t="s">
        <v>951</v>
      </c>
      <c r="K312" s="1"/>
      <c r="L312" s="4">
        <f t="shared" si="21"/>
        <v>164.61</v>
      </c>
      <c r="M312" s="4" t="s">
        <v>20</v>
      </c>
      <c r="N312" s="4">
        <f t="shared" si="18"/>
        <v>177.79</v>
      </c>
      <c r="O312" s="4" t="s">
        <v>21</v>
      </c>
      <c r="P312" s="4">
        <f t="shared" si="19"/>
        <v>151.96</v>
      </c>
      <c r="Q312" s="4" t="s">
        <v>22</v>
      </c>
      <c r="R312" s="4" t="str">
        <f t="shared" si="20"/>
        <v>164.61(151.96,177.79)</v>
      </c>
      <c r="S312" s="4"/>
      <c r="T312" s="4"/>
      <c r="U312" s="4"/>
    </row>
    <row r="313" hidden="1" spans="1:21">
      <c r="A313" s="1" t="s">
        <v>736</v>
      </c>
      <c r="B313" s="1" t="s">
        <v>81</v>
      </c>
      <c r="C313" s="1" t="s">
        <v>13</v>
      </c>
      <c r="D313" s="1" t="s">
        <v>27</v>
      </c>
      <c r="E313" s="1" t="s">
        <v>15</v>
      </c>
      <c r="F313" s="1" t="s">
        <v>23</v>
      </c>
      <c r="G313" s="1">
        <v>2021</v>
      </c>
      <c r="H313" s="1">
        <v>335.0216718</v>
      </c>
      <c r="I313" s="6" t="s">
        <v>952</v>
      </c>
      <c r="J313" s="6" t="s">
        <v>953</v>
      </c>
      <c r="K313" s="1"/>
      <c r="L313" s="4">
        <f t="shared" si="21"/>
        <v>335.02</v>
      </c>
      <c r="M313" s="4" t="s">
        <v>20</v>
      </c>
      <c r="N313" s="4">
        <f t="shared" si="18"/>
        <v>358.31</v>
      </c>
      <c r="O313" s="4" t="s">
        <v>21</v>
      </c>
      <c r="P313" s="4">
        <f t="shared" si="19"/>
        <v>314.71</v>
      </c>
      <c r="Q313" s="4" t="s">
        <v>22</v>
      </c>
      <c r="R313" s="4" t="str">
        <f t="shared" si="20"/>
        <v>335.02(314.71,358.31)</v>
      </c>
      <c r="S313" s="4"/>
      <c r="T313" s="4"/>
      <c r="U313" s="4"/>
    </row>
  </sheetData>
  <autoFilter xmlns:etc="http://www.wps.cn/officeDocument/2017/etCustomData" ref="A1:U313" etc:filterBottomFollowUsedRange="0">
    <filterColumn colId="1">
      <filters>
        <filter val="Global"/>
      </filters>
    </filterColumn>
    <filterColumn colId="6">
      <filters>
        <filter val="2021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1" sqref="B1:D14"/>
    </sheetView>
  </sheetViews>
  <sheetFormatPr defaultColWidth="8.66666666666667" defaultRowHeight="14" outlineLevelCol="3"/>
  <cols>
    <col min="1" max="1" width="44.3333333333333" customWidth="1"/>
    <col min="2" max="2" width="33.5" customWidth="1"/>
    <col min="3" max="3" width="21.5833333333333" customWidth="1"/>
    <col min="4" max="4" width="17.75" customWidth="1"/>
  </cols>
  <sheetData>
    <row r="1" spans="1:4">
      <c r="A1" s="1" t="s">
        <v>1</v>
      </c>
      <c r="B1" s="4" t="s">
        <v>954</v>
      </c>
      <c r="C1" s="4" t="s">
        <v>955</v>
      </c>
      <c r="D1" s="4" t="s">
        <v>956</v>
      </c>
    </row>
    <row r="2" spans="1:4">
      <c r="A2" s="1" t="s">
        <v>91</v>
      </c>
      <c r="B2" s="4" t="s">
        <v>957</v>
      </c>
      <c r="C2" s="4" t="s">
        <v>958</v>
      </c>
      <c r="D2" s="4" t="s">
        <v>959</v>
      </c>
    </row>
    <row r="3" spans="1:4">
      <c r="A3" s="1" t="s">
        <v>81</v>
      </c>
      <c r="B3" s="4" t="s">
        <v>960</v>
      </c>
      <c r="C3" s="4" t="s">
        <v>961</v>
      </c>
      <c r="D3" s="4" t="s">
        <v>962</v>
      </c>
    </row>
    <row r="4" spans="1:4">
      <c r="A4" s="1" t="s">
        <v>100</v>
      </c>
      <c r="B4" s="4" t="s">
        <v>963</v>
      </c>
      <c r="C4" s="4" t="s">
        <v>964</v>
      </c>
      <c r="D4" s="4" t="s">
        <v>965</v>
      </c>
    </row>
    <row r="5" spans="1:4">
      <c r="A5" s="1" t="s">
        <v>12</v>
      </c>
      <c r="B5" s="4" t="s">
        <v>966</v>
      </c>
      <c r="C5" s="4" t="s">
        <v>967</v>
      </c>
      <c r="D5" s="4" t="s">
        <v>968</v>
      </c>
    </row>
    <row r="6" spans="1:4">
      <c r="A6" s="1" t="s">
        <v>130</v>
      </c>
      <c r="B6" s="4" t="s">
        <v>969</v>
      </c>
      <c r="C6" s="4" t="s">
        <v>970</v>
      </c>
      <c r="D6" s="4" t="s">
        <v>971</v>
      </c>
    </row>
    <row r="7" spans="1:4">
      <c r="A7" s="1" t="s">
        <v>31</v>
      </c>
      <c r="B7" s="4" t="s">
        <v>972</v>
      </c>
      <c r="C7" s="4" t="s">
        <v>973</v>
      </c>
      <c r="D7" s="4" t="s">
        <v>974</v>
      </c>
    </row>
    <row r="8" spans="1:4">
      <c r="A8" s="1" t="s">
        <v>51</v>
      </c>
      <c r="B8" s="4" t="s">
        <v>975</v>
      </c>
      <c r="C8" s="4" t="s">
        <v>976</v>
      </c>
      <c r="D8" s="4" t="s">
        <v>977</v>
      </c>
    </row>
    <row r="9" spans="1:4">
      <c r="A9" s="1" t="s">
        <v>120</v>
      </c>
      <c r="B9" s="4" t="s">
        <v>978</v>
      </c>
      <c r="C9" s="4" t="s">
        <v>979</v>
      </c>
      <c r="D9" s="4" t="s">
        <v>980</v>
      </c>
    </row>
    <row r="10" spans="1:4">
      <c r="A10" s="1" t="s">
        <v>71</v>
      </c>
      <c r="B10" s="4" t="s">
        <v>981</v>
      </c>
      <c r="C10" s="4" t="s">
        <v>982</v>
      </c>
      <c r="D10" s="4" t="s">
        <v>983</v>
      </c>
    </row>
    <row r="11" spans="1:4">
      <c r="A11" s="1" t="s">
        <v>41</v>
      </c>
      <c r="B11" s="4" t="s">
        <v>984</v>
      </c>
      <c r="C11" s="4" t="s">
        <v>985</v>
      </c>
      <c r="D11" s="4" t="s">
        <v>986</v>
      </c>
    </row>
    <row r="12" spans="1:4">
      <c r="A12" s="1" t="s">
        <v>110</v>
      </c>
      <c r="B12" s="4" t="s">
        <v>987</v>
      </c>
      <c r="C12" s="4" t="s">
        <v>988</v>
      </c>
      <c r="D12" s="4" t="s">
        <v>989</v>
      </c>
    </row>
    <row r="13" spans="1:4">
      <c r="A13" s="1" t="s">
        <v>61</v>
      </c>
      <c r="B13" s="4" t="s">
        <v>990</v>
      </c>
      <c r="C13" s="4" t="s">
        <v>991</v>
      </c>
      <c r="D13" s="4" t="s">
        <v>992</v>
      </c>
    </row>
    <row r="14" spans="1:4">
      <c r="A14" s="1" t="s">
        <v>140</v>
      </c>
      <c r="B14" s="4" t="s">
        <v>993</v>
      </c>
      <c r="C14" s="4" t="s">
        <v>994</v>
      </c>
      <c r="D14" s="4" t="s">
        <v>995</v>
      </c>
    </row>
  </sheetData>
  <sortState ref="A2:D14">
    <sortCondition ref="A2:A14" customList="Global,High SDI,High-middle SDI,Middle SDI,Low-middle SDI,Low SDI,High-income,North Africa and Middle East,Latin America and Caribbean,South Asia,Southeast Asia, East Asia, and Oceania,Central Europe, Eastern Europe, and Central Asia,Sub-Saharan Africa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1" sqref="B1:D14"/>
    </sheetView>
  </sheetViews>
  <sheetFormatPr defaultColWidth="8.66666666666667" defaultRowHeight="14" outlineLevelCol="3"/>
  <cols>
    <col min="1" max="1" width="44.4166666666667" customWidth="1"/>
    <col min="2" max="2" width="38.3333333333333" customWidth="1"/>
    <col min="3" max="3" width="28.9166666666667" customWidth="1"/>
    <col min="4" max="4" width="21.5" customWidth="1"/>
  </cols>
  <sheetData>
    <row r="1" spans="1:4">
      <c r="A1" s="1" t="s">
        <v>1</v>
      </c>
      <c r="B1" s="4" t="s">
        <v>954</v>
      </c>
      <c r="C1" s="4" t="s">
        <v>955</v>
      </c>
      <c r="D1" s="4" t="s">
        <v>956</v>
      </c>
    </row>
    <row r="2" spans="1:4">
      <c r="A2" s="1" t="s">
        <v>91</v>
      </c>
      <c r="B2" s="4" t="s">
        <v>996</v>
      </c>
      <c r="C2" s="4" t="s">
        <v>997</v>
      </c>
      <c r="D2" s="4" t="s">
        <v>998</v>
      </c>
    </row>
    <row r="3" spans="1:4">
      <c r="A3" s="1" t="s">
        <v>81</v>
      </c>
      <c r="B3" s="4" t="s">
        <v>999</v>
      </c>
      <c r="C3" s="4" t="s">
        <v>1000</v>
      </c>
      <c r="D3" s="4" t="s">
        <v>1001</v>
      </c>
    </row>
    <row r="4" spans="1:4">
      <c r="A4" s="1" t="s">
        <v>100</v>
      </c>
      <c r="B4" s="4" t="s">
        <v>1002</v>
      </c>
      <c r="C4" s="4" t="s">
        <v>1003</v>
      </c>
      <c r="D4" s="4" t="s">
        <v>1004</v>
      </c>
    </row>
    <row r="5" spans="1:4">
      <c r="A5" s="1" t="s">
        <v>12</v>
      </c>
      <c r="B5" s="4" t="s">
        <v>1005</v>
      </c>
      <c r="C5" s="4" t="s">
        <v>1006</v>
      </c>
      <c r="D5" s="4" t="s">
        <v>1007</v>
      </c>
    </row>
    <row r="6" spans="1:4">
      <c r="A6" s="1" t="s">
        <v>130</v>
      </c>
      <c r="B6" s="4" t="s">
        <v>1008</v>
      </c>
      <c r="C6" s="4" t="s">
        <v>1009</v>
      </c>
      <c r="D6" s="4" t="s">
        <v>1010</v>
      </c>
    </row>
    <row r="7" spans="1:4">
      <c r="A7" s="1" t="s">
        <v>31</v>
      </c>
      <c r="B7" s="4" t="s">
        <v>1011</v>
      </c>
      <c r="C7" s="4" t="s">
        <v>1012</v>
      </c>
      <c r="D7" s="4" t="s">
        <v>1013</v>
      </c>
    </row>
    <row r="8" spans="1:4">
      <c r="A8" s="1" t="s">
        <v>51</v>
      </c>
      <c r="B8" s="4" t="s">
        <v>1014</v>
      </c>
      <c r="C8" s="4" t="s">
        <v>1015</v>
      </c>
      <c r="D8" s="4" t="s">
        <v>1016</v>
      </c>
    </row>
    <row r="9" spans="1:4">
      <c r="A9" s="1" t="s">
        <v>120</v>
      </c>
      <c r="B9" s="4" t="s">
        <v>1017</v>
      </c>
      <c r="C9" s="4" t="s">
        <v>1018</v>
      </c>
      <c r="D9" s="4" t="s">
        <v>1019</v>
      </c>
    </row>
    <row r="10" spans="1:4">
      <c r="A10" s="1" t="s">
        <v>71</v>
      </c>
      <c r="B10" s="4" t="s">
        <v>1020</v>
      </c>
      <c r="C10" s="4" t="s">
        <v>1021</v>
      </c>
      <c r="D10" s="4" t="s">
        <v>1022</v>
      </c>
    </row>
    <row r="11" spans="1:4">
      <c r="A11" s="1" t="s">
        <v>41</v>
      </c>
      <c r="B11" s="4" t="s">
        <v>1023</v>
      </c>
      <c r="C11" s="4" t="s">
        <v>1024</v>
      </c>
      <c r="D11" s="4" t="s">
        <v>1025</v>
      </c>
    </row>
    <row r="12" spans="1:4">
      <c r="A12" s="1" t="s">
        <v>110</v>
      </c>
      <c r="B12" s="4" t="s">
        <v>1026</v>
      </c>
      <c r="C12" s="4" t="s">
        <v>1027</v>
      </c>
      <c r="D12" s="4" t="s">
        <v>1028</v>
      </c>
    </row>
    <row r="13" spans="1:4">
      <c r="A13" s="1" t="s">
        <v>61</v>
      </c>
      <c r="B13" s="4" t="s">
        <v>1029</v>
      </c>
      <c r="C13" s="4" t="s">
        <v>1030</v>
      </c>
      <c r="D13" s="4" t="s">
        <v>1031</v>
      </c>
    </row>
    <row r="14" spans="1:4">
      <c r="A14" s="1" t="s">
        <v>140</v>
      </c>
      <c r="B14" s="4" t="s">
        <v>1032</v>
      </c>
      <c r="C14" s="4" t="s">
        <v>1033</v>
      </c>
      <c r="D14" s="4" t="s">
        <v>1034</v>
      </c>
    </row>
  </sheetData>
  <sortState ref="A2:D14">
    <sortCondition ref="A2:A14" customList="Global,High SDI,High-middle SDI,Middle SDI,Low-middle SDI,Low SDI,High-income,North Africa and Middle East,Latin America and Caribbean,South Asia,Southeast Asia, East Asia, and Oceania,Central Europe, Eastern Europe, and Central Asia,Sub-Saharan Africa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1" sqref="B1:D14"/>
    </sheetView>
  </sheetViews>
  <sheetFormatPr defaultColWidth="8.66666666666667" defaultRowHeight="14" outlineLevelCol="3"/>
  <cols>
    <col min="1" max="1" width="45" customWidth="1"/>
    <col min="2" max="2" width="30.0833333333333" customWidth="1"/>
    <col min="3" max="3" width="22" customWidth="1"/>
    <col min="4" max="4" width="22.6666666666667" customWidth="1"/>
  </cols>
  <sheetData>
    <row r="1" spans="1:4">
      <c r="A1" s="1" t="s">
        <v>1</v>
      </c>
      <c r="B1" s="4" t="s">
        <v>954</v>
      </c>
      <c r="C1" s="4" t="s">
        <v>955</v>
      </c>
      <c r="D1" s="4" t="s">
        <v>956</v>
      </c>
    </row>
    <row r="2" spans="1:4">
      <c r="A2" s="1" t="s">
        <v>91</v>
      </c>
      <c r="B2" s="4" t="s">
        <v>1035</v>
      </c>
      <c r="C2" s="4" t="s">
        <v>1036</v>
      </c>
      <c r="D2" s="4" t="s">
        <v>1037</v>
      </c>
    </row>
    <row r="3" spans="1:4">
      <c r="A3" s="1" t="s">
        <v>81</v>
      </c>
      <c r="B3" s="4" t="s">
        <v>1038</v>
      </c>
      <c r="C3" s="4" t="s">
        <v>1039</v>
      </c>
      <c r="D3" s="4" t="s">
        <v>1040</v>
      </c>
    </row>
    <row r="4" spans="1:4">
      <c r="A4" s="1" t="s">
        <v>100</v>
      </c>
      <c r="B4" s="4" t="s">
        <v>1041</v>
      </c>
      <c r="C4" s="4" t="s">
        <v>1042</v>
      </c>
      <c r="D4" s="4" t="s">
        <v>1043</v>
      </c>
    </row>
    <row r="5" spans="1:4">
      <c r="A5" s="1" t="s">
        <v>12</v>
      </c>
      <c r="B5" s="4" t="s">
        <v>1044</v>
      </c>
      <c r="C5" s="4" t="s">
        <v>1045</v>
      </c>
      <c r="D5" s="4" t="s">
        <v>1046</v>
      </c>
    </row>
    <row r="6" spans="1:4">
      <c r="A6" s="1" t="s">
        <v>130</v>
      </c>
      <c r="B6" s="4" t="s">
        <v>1047</v>
      </c>
      <c r="C6" s="4" t="s">
        <v>1048</v>
      </c>
      <c r="D6" s="4" t="s">
        <v>1049</v>
      </c>
    </row>
    <row r="7" spans="1:4">
      <c r="A7" s="1" t="s">
        <v>31</v>
      </c>
      <c r="B7" s="4" t="s">
        <v>1050</v>
      </c>
      <c r="C7" s="4" t="s">
        <v>1051</v>
      </c>
      <c r="D7" s="4" t="s">
        <v>1052</v>
      </c>
    </row>
    <row r="8" spans="1:4">
      <c r="A8" s="1" t="s">
        <v>51</v>
      </c>
      <c r="B8" s="4" t="s">
        <v>1053</v>
      </c>
      <c r="C8" s="4" t="s">
        <v>1054</v>
      </c>
      <c r="D8" s="4" t="s">
        <v>1055</v>
      </c>
    </row>
    <row r="9" spans="1:4">
      <c r="A9" s="1" t="s">
        <v>120</v>
      </c>
      <c r="B9" s="4" t="s">
        <v>1056</v>
      </c>
      <c r="C9" s="4" t="s">
        <v>1057</v>
      </c>
      <c r="D9" s="4" t="s">
        <v>1058</v>
      </c>
    </row>
    <row r="10" spans="1:4">
      <c r="A10" s="1" t="s">
        <v>71</v>
      </c>
      <c r="B10" s="4" t="s">
        <v>1059</v>
      </c>
      <c r="C10" s="4" t="s">
        <v>1060</v>
      </c>
      <c r="D10" s="4" t="s">
        <v>1061</v>
      </c>
    </row>
    <row r="11" spans="1:4">
      <c r="A11" s="1" t="s">
        <v>41</v>
      </c>
      <c r="B11" s="4" t="s">
        <v>1062</v>
      </c>
      <c r="C11" s="4" t="s">
        <v>1063</v>
      </c>
      <c r="D11" s="4" t="s">
        <v>1064</v>
      </c>
    </row>
    <row r="12" spans="1:4">
      <c r="A12" s="1" t="s">
        <v>110</v>
      </c>
      <c r="B12" s="4" t="s">
        <v>1065</v>
      </c>
      <c r="C12" s="4" t="s">
        <v>1066</v>
      </c>
      <c r="D12" s="4" t="s">
        <v>1067</v>
      </c>
    </row>
    <row r="13" spans="1:4">
      <c r="A13" s="1" t="s">
        <v>61</v>
      </c>
      <c r="B13" s="4" t="s">
        <v>1068</v>
      </c>
      <c r="C13" s="4" t="s">
        <v>1069</v>
      </c>
      <c r="D13" s="4" t="s">
        <v>1070</v>
      </c>
    </row>
    <row r="14" spans="1:4">
      <c r="A14" s="1" t="s">
        <v>140</v>
      </c>
      <c r="B14" s="4" t="s">
        <v>1071</v>
      </c>
      <c r="C14" s="4" t="s">
        <v>1072</v>
      </c>
      <c r="D14" s="4" t="s">
        <v>1073</v>
      </c>
    </row>
  </sheetData>
  <sortState ref="A2:D14">
    <sortCondition ref="A2:A14" customList="Global,High SDI,High-middle SDI,Middle SDI,Low-middle SDI,Low SDI,High-income,North Africa and Middle East,Latin America and Caribbean,South Asia,Southeast Asia, East Asia, and Oceania,Central Europe, Eastern Europe, and Central Asia,Sub-Saharan Africa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1" sqref="B1:D14"/>
    </sheetView>
  </sheetViews>
  <sheetFormatPr defaultColWidth="8.66666666666667" defaultRowHeight="14" outlineLevelCol="3"/>
  <cols>
    <col min="1" max="1" width="45.6666666666667" customWidth="1"/>
    <col min="2" max="2" width="37.5" customWidth="1"/>
    <col min="3" max="3" width="27.0833333333333" customWidth="1"/>
    <col min="4" max="4" width="20" customWidth="1"/>
  </cols>
  <sheetData>
    <row r="1" spans="1:4">
      <c r="A1" s="1" t="s">
        <v>1</v>
      </c>
      <c r="B1" s="4" t="s">
        <v>954</v>
      </c>
      <c r="C1" s="4" t="s">
        <v>955</v>
      </c>
      <c r="D1" s="4" t="s">
        <v>956</v>
      </c>
    </row>
    <row r="2" spans="1:4">
      <c r="A2" s="1" t="s">
        <v>91</v>
      </c>
      <c r="B2" s="4" t="s">
        <v>1074</v>
      </c>
      <c r="C2" s="4" t="s">
        <v>1075</v>
      </c>
      <c r="D2" s="4" t="s">
        <v>1076</v>
      </c>
    </row>
    <row r="3" spans="1:4">
      <c r="A3" s="1" t="s">
        <v>81</v>
      </c>
      <c r="B3" s="4" t="s">
        <v>1077</v>
      </c>
      <c r="C3" s="4" t="s">
        <v>1078</v>
      </c>
      <c r="D3" s="4" t="s">
        <v>1079</v>
      </c>
    </row>
    <row r="4" spans="1:4">
      <c r="A4" s="1" t="s">
        <v>100</v>
      </c>
      <c r="B4" s="4" t="s">
        <v>1080</v>
      </c>
      <c r="C4" s="4" t="s">
        <v>1081</v>
      </c>
      <c r="D4" s="4" t="s">
        <v>1082</v>
      </c>
    </row>
    <row r="5" spans="1:4">
      <c r="A5" s="1" t="s">
        <v>12</v>
      </c>
      <c r="B5" s="4" t="s">
        <v>1083</v>
      </c>
      <c r="C5" s="4" t="s">
        <v>1084</v>
      </c>
      <c r="D5" s="4" t="s">
        <v>1085</v>
      </c>
    </row>
    <row r="6" spans="1:4">
      <c r="A6" s="1" t="s">
        <v>130</v>
      </c>
      <c r="B6" s="4" t="s">
        <v>1086</v>
      </c>
      <c r="C6" s="4" t="s">
        <v>1087</v>
      </c>
      <c r="D6" s="4" t="s">
        <v>1088</v>
      </c>
    </row>
    <row r="7" spans="1:4">
      <c r="A7" s="1" t="s">
        <v>31</v>
      </c>
      <c r="B7" s="4" t="s">
        <v>1089</v>
      </c>
      <c r="C7" s="4" t="s">
        <v>1090</v>
      </c>
      <c r="D7" s="4" t="s">
        <v>1091</v>
      </c>
    </row>
    <row r="8" spans="1:4">
      <c r="A8" s="1" t="s">
        <v>51</v>
      </c>
      <c r="B8" s="4" t="s">
        <v>1092</v>
      </c>
      <c r="C8" s="4" t="s">
        <v>1093</v>
      </c>
      <c r="D8" s="4" t="s">
        <v>1094</v>
      </c>
    </row>
    <row r="9" spans="1:4">
      <c r="A9" s="1" t="s">
        <v>120</v>
      </c>
      <c r="B9" s="4" t="s">
        <v>1095</v>
      </c>
      <c r="C9" s="4" t="s">
        <v>1096</v>
      </c>
      <c r="D9" s="4" t="s">
        <v>1097</v>
      </c>
    </row>
    <row r="10" spans="1:4">
      <c r="A10" s="1" t="s">
        <v>71</v>
      </c>
      <c r="B10" s="4" t="s">
        <v>1098</v>
      </c>
      <c r="C10" s="4" t="s">
        <v>1099</v>
      </c>
      <c r="D10" s="4" t="s">
        <v>1100</v>
      </c>
    </row>
    <row r="11" spans="1:4">
      <c r="A11" s="1" t="s">
        <v>41</v>
      </c>
      <c r="B11" s="4" t="s">
        <v>1101</v>
      </c>
      <c r="C11" s="4" t="s">
        <v>1102</v>
      </c>
      <c r="D11" s="4" t="s">
        <v>1103</v>
      </c>
    </row>
    <row r="12" spans="1:4">
      <c r="A12" s="1" t="s">
        <v>110</v>
      </c>
      <c r="B12" s="4" t="s">
        <v>1104</v>
      </c>
      <c r="C12" s="4" t="s">
        <v>1105</v>
      </c>
      <c r="D12" s="4" t="s">
        <v>1106</v>
      </c>
    </row>
    <row r="13" spans="1:4">
      <c r="A13" s="1" t="s">
        <v>61</v>
      </c>
      <c r="B13" s="4" t="s">
        <v>1107</v>
      </c>
      <c r="C13" s="4" t="s">
        <v>1108</v>
      </c>
      <c r="D13" s="4" t="s">
        <v>1109</v>
      </c>
    </row>
    <row r="14" spans="1:4">
      <c r="A14" s="1" t="s">
        <v>140</v>
      </c>
      <c r="B14" s="4" t="s">
        <v>1110</v>
      </c>
      <c r="C14" s="4" t="s">
        <v>1111</v>
      </c>
      <c r="D14" s="4" t="s">
        <v>1112</v>
      </c>
    </row>
  </sheetData>
  <sortState ref="A2:D14">
    <sortCondition ref="A2:A14" customList="Global,High SDI,High-middle SDI,Middle SDI,Low-middle SDI,Low SDI,High-income,North Africa and Middle East,Latin America and Caribbean,South Asia,Southeast Asia, East Asia, and Oceania,Central Europe, Eastern Europe, and Central Asia,Sub-Saharan Africa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workbookViewId="0">
      <selection activeCell="E8" sqref="E8"/>
    </sheetView>
  </sheetViews>
  <sheetFormatPr defaultColWidth="8.66666666666667" defaultRowHeight="14"/>
  <cols>
    <col min="8" max="11" width="12.6666666666667"/>
    <col min="13" max="13" width="12.6666666666667"/>
    <col min="15" max="15" width="12.6666666666667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/>
      <c r="Q1" t="s">
        <v>10</v>
      </c>
    </row>
    <row r="2" spans="1:17">
      <c r="A2" s="5" t="s">
        <v>736</v>
      </c>
      <c r="B2" s="5" t="s">
        <v>91</v>
      </c>
      <c r="C2" s="5" t="s">
        <v>1113</v>
      </c>
      <c r="D2" s="5" t="s">
        <v>14</v>
      </c>
      <c r="E2" s="5" t="s">
        <v>15</v>
      </c>
      <c r="F2" s="5" t="s">
        <v>16</v>
      </c>
      <c r="G2" s="5">
        <v>2021</v>
      </c>
      <c r="H2" s="5">
        <v>12420567.4898894</v>
      </c>
      <c r="I2" s="5">
        <v>13394276.5022934</v>
      </c>
      <c r="J2" s="5">
        <v>11528915.4026057</v>
      </c>
      <c r="K2" s="5">
        <f>ROUND(H2,2)</f>
        <v>12420567.49</v>
      </c>
      <c r="L2" t="s">
        <v>20</v>
      </c>
      <c r="M2">
        <f>ROUND(J2,2)</f>
        <v>11528915.4</v>
      </c>
      <c r="N2" t="s">
        <v>21</v>
      </c>
      <c r="O2">
        <f>ROUND(I2,2)</f>
        <v>13394276.5</v>
      </c>
      <c r="P2" t="s">
        <v>22</v>
      </c>
      <c r="Q2" t="str">
        <f>K2&amp;L2&amp;M2&amp;N2&amp;O2&amp;P2</f>
        <v>12420567.49(11528915.4,13394276.5)</v>
      </c>
    </row>
    <row r="3" spans="1:17">
      <c r="A3" s="5" t="s">
        <v>736</v>
      </c>
      <c r="B3" s="5" t="s">
        <v>91</v>
      </c>
      <c r="C3" s="5" t="s">
        <v>1114</v>
      </c>
      <c r="D3" s="5" t="s">
        <v>14</v>
      </c>
      <c r="E3" s="5" t="s">
        <v>15</v>
      </c>
      <c r="F3" s="5" t="s">
        <v>16</v>
      </c>
      <c r="G3" s="5">
        <v>2021</v>
      </c>
      <c r="H3" s="5">
        <v>11490753.0944391</v>
      </c>
      <c r="I3" s="5">
        <v>12400713.8520329</v>
      </c>
      <c r="J3" s="5">
        <v>10626231.5760929</v>
      </c>
      <c r="K3" s="5">
        <f t="shared" ref="K3:K17" si="0">ROUND(H3,2)</f>
        <v>11490753.09</v>
      </c>
      <c r="L3" t="s">
        <v>20</v>
      </c>
      <c r="M3">
        <f t="shared" ref="M3:M17" si="1">ROUND(J3,2)</f>
        <v>10626231.58</v>
      </c>
      <c r="N3" t="s">
        <v>21</v>
      </c>
      <c r="O3">
        <f t="shared" ref="O3:O17" si="2">ROUND(I3,2)</f>
        <v>12400713.85</v>
      </c>
      <c r="P3" t="s">
        <v>22</v>
      </c>
      <c r="Q3" t="str">
        <f t="shared" ref="Q3:Q17" si="3">K3&amp;L3&amp;M3&amp;N3&amp;O3&amp;P3</f>
        <v>11490753.09(10626231.58,12400713.85)</v>
      </c>
    </row>
    <row r="4" spans="1:17">
      <c r="A4" s="5" t="s">
        <v>736</v>
      </c>
      <c r="B4" s="5" t="s">
        <v>91</v>
      </c>
      <c r="C4" s="5" t="s">
        <v>1113</v>
      </c>
      <c r="D4" s="5" t="s">
        <v>27</v>
      </c>
      <c r="E4" s="5" t="s">
        <v>15</v>
      </c>
      <c r="F4" s="5" t="s">
        <v>23</v>
      </c>
      <c r="G4" s="5">
        <v>2021</v>
      </c>
      <c r="H4" s="5">
        <v>294.19865978523</v>
      </c>
      <c r="I4" s="5">
        <v>317.2656255</v>
      </c>
      <c r="J4" s="5">
        <v>273.84367338231</v>
      </c>
      <c r="K4" s="5">
        <f t="shared" si="0"/>
        <v>294.2</v>
      </c>
      <c r="L4" t="s">
        <v>20</v>
      </c>
      <c r="M4">
        <f t="shared" si="1"/>
        <v>273.84</v>
      </c>
      <c r="N4" t="s">
        <v>21</v>
      </c>
      <c r="O4">
        <f t="shared" si="2"/>
        <v>317.27</v>
      </c>
      <c r="P4" t="s">
        <v>22</v>
      </c>
      <c r="Q4" t="str">
        <f t="shared" si="3"/>
        <v>294.2(273.84,317.27)</v>
      </c>
    </row>
    <row r="5" spans="1:17">
      <c r="A5" s="5" t="s">
        <v>736</v>
      </c>
      <c r="B5" s="5" t="s">
        <v>91</v>
      </c>
      <c r="C5" s="5" t="s">
        <v>1114</v>
      </c>
      <c r="D5" s="5" t="s">
        <v>27</v>
      </c>
      <c r="E5" s="5" t="s">
        <v>15</v>
      </c>
      <c r="F5" s="5" t="s">
        <v>23</v>
      </c>
      <c r="G5" s="5">
        <v>2021</v>
      </c>
      <c r="H5" s="5">
        <v>266.47472841574</v>
      </c>
      <c r="I5" s="5">
        <v>287.52758360279</v>
      </c>
      <c r="J5" s="5">
        <v>246.61455256539</v>
      </c>
      <c r="K5" s="5">
        <f t="shared" si="0"/>
        <v>266.47</v>
      </c>
      <c r="L5" t="s">
        <v>20</v>
      </c>
      <c r="M5">
        <f t="shared" si="1"/>
        <v>246.61</v>
      </c>
      <c r="N5" t="s">
        <v>21</v>
      </c>
      <c r="O5">
        <f t="shared" si="2"/>
        <v>287.53</v>
      </c>
      <c r="P5" t="s">
        <v>22</v>
      </c>
      <c r="Q5" t="str">
        <f t="shared" si="3"/>
        <v>266.47(246.61,287.53)</v>
      </c>
    </row>
    <row r="6" spans="1:17">
      <c r="A6" s="5" t="s">
        <v>502</v>
      </c>
      <c r="B6" s="5" t="s">
        <v>91</v>
      </c>
      <c r="C6" s="5" t="s">
        <v>1113</v>
      </c>
      <c r="D6" s="5" t="s">
        <v>14</v>
      </c>
      <c r="E6" s="5" t="s">
        <v>15</v>
      </c>
      <c r="F6" s="5" t="s">
        <v>16</v>
      </c>
      <c r="G6" s="5">
        <v>2021</v>
      </c>
      <c r="H6" s="5">
        <v>261014901.618348</v>
      </c>
      <c r="I6" s="5">
        <v>281160406.341772</v>
      </c>
      <c r="J6" s="5">
        <v>242372927.841548</v>
      </c>
      <c r="K6" s="5">
        <f t="shared" si="0"/>
        <v>261014901.62</v>
      </c>
      <c r="L6" t="s">
        <v>20</v>
      </c>
      <c r="M6">
        <f t="shared" si="1"/>
        <v>242372927.84</v>
      </c>
      <c r="N6" t="s">
        <v>21</v>
      </c>
      <c r="O6">
        <f t="shared" si="2"/>
        <v>281160406.34</v>
      </c>
      <c r="P6" t="s">
        <v>22</v>
      </c>
      <c r="Q6" t="str">
        <f t="shared" si="3"/>
        <v>261014901.62(242372927.84,281160406.34)</v>
      </c>
    </row>
    <row r="7" spans="1:17">
      <c r="A7" s="5" t="s">
        <v>502</v>
      </c>
      <c r="B7" s="5" t="s">
        <v>91</v>
      </c>
      <c r="C7" s="5" t="s">
        <v>1114</v>
      </c>
      <c r="D7" s="5" t="s">
        <v>14</v>
      </c>
      <c r="E7" s="5" t="s">
        <v>15</v>
      </c>
      <c r="F7" s="5" t="s">
        <v>16</v>
      </c>
      <c r="G7" s="5">
        <v>2021</v>
      </c>
      <c r="H7" s="5">
        <v>245022681.998547</v>
      </c>
      <c r="I7" s="5">
        <v>264112083.013842</v>
      </c>
      <c r="J7" s="5">
        <v>227664582.026472</v>
      </c>
      <c r="K7" s="5">
        <f t="shared" si="0"/>
        <v>245022682</v>
      </c>
      <c r="L7" t="s">
        <v>20</v>
      </c>
      <c r="M7">
        <f t="shared" si="1"/>
        <v>227664582.03</v>
      </c>
      <c r="N7" t="s">
        <v>21</v>
      </c>
      <c r="O7">
        <f t="shared" si="2"/>
        <v>264112083.01</v>
      </c>
      <c r="P7" t="s">
        <v>22</v>
      </c>
      <c r="Q7" t="str">
        <f t="shared" si="3"/>
        <v>245022682(227664582.03,264112083.01)</v>
      </c>
    </row>
    <row r="8" spans="1:17">
      <c r="A8" s="5" t="s">
        <v>502</v>
      </c>
      <c r="B8" s="5" t="s">
        <v>91</v>
      </c>
      <c r="C8" s="5" t="s">
        <v>1113</v>
      </c>
      <c r="D8" s="5" t="s">
        <v>27</v>
      </c>
      <c r="E8" s="5" t="s">
        <v>15</v>
      </c>
      <c r="F8" s="5" t="s">
        <v>23</v>
      </c>
      <c r="G8" s="5">
        <v>2021</v>
      </c>
      <c r="H8" s="5">
        <v>6289.67308078594</v>
      </c>
      <c r="I8" s="5">
        <v>6762.47302906067</v>
      </c>
      <c r="J8" s="5">
        <v>5849.05700255883</v>
      </c>
      <c r="K8" s="5">
        <f t="shared" si="0"/>
        <v>6289.67</v>
      </c>
      <c r="L8" t="s">
        <v>20</v>
      </c>
      <c r="M8">
        <f t="shared" si="1"/>
        <v>5849.06</v>
      </c>
      <c r="N8" t="s">
        <v>21</v>
      </c>
      <c r="O8">
        <f t="shared" si="2"/>
        <v>6762.47</v>
      </c>
      <c r="P8" t="s">
        <v>22</v>
      </c>
      <c r="Q8" t="str">
        <f t="shared" si="3"/>
        <v>6289.67(5849.06,6762.47)</v>
      </c>
    </row>
    <row r="9" spans="1:17">
      <c r="A9" s="5" t="s">
        <v>502</v>
      </c>
      <c r="B9" s="5" t="s">
        <v>91</v>
      </c>
      <c r="C9" s="5" t="s">
        <v>1114</v>
      </c>
      <c r="D9" s="5" t="s">
        <v>27</v>
      </c>
      <c r="E9" s="5" t="s">
        <v>15</v>
      </c>
      <c r="F9" s="5" t="s">
        <v>23</v>
      </c>
      <c r="G9" s="5">
        <v>2021</v>
      </c>
      <c r="H9" s="5">
        <v>5507.40235810012</v>
      </c>
      <c r="I9" s="5">
        <v>5935.51264333108</v>
      </c>
      <c r="J9" s="5">
        <v>5112.72057802672</v>
      </c>
      <c r="K9" s="5">
        <f t="shared" si="0"/>
        <v>5507.4</v>
      </c>
      <c r="L9" t="s">
        <v>20</v>
      </c>
      <c r="M9">
        <f t="shared" si="1"/>
        <v>5112.72</v>
      </c>
      <c r="N9" t="s">
        <v>21</v>
      </c>
      <c r="O9">
        <f t="shared" si="2"/>
        <v>5935.51</v>
      </c>
      <c r="P9" t="s">
        <v>22</v>
      </c>
      <c r="Q9" t="str">
        <f t="shared" si="3"/>
        <v>5507.4(5112.72,5935.51)</v>
      </c>
    </row>
    <row r="10" spans="1:17">
      <c r="A10" s="5" t="s">
        <v>11</v>
      </c>
      <c r="B10" s="5" t="s">
        <v>91</v>
      </c>
      <c r="C10" s="5" t="s">
        <v>1113</v>
      </c>
      <c r="D10" s="5" t="s">
        <v>14</v>
      </c>
      <c r="E10" s="5" t="s">
        <v>15</v>
      </c>
      <c r="F10" s="5" t="s">
        <v>16</v>
      </c>
      <c r="G10" s="5">
        <v>2021</v>
      </c>
      <c r="H10" s="5">
        <v>770597.485359259</v>
      </c>
      <c r="I10" s="5">
        <v>832342.556919693</v>
      </c>
      <c r="J10" s="5">
        <v>713162.276581067</v>
      </c>
      <c r="K10" s="5">
        <f t="shared" si="0"/>
        <v>770597.49</v>
      </c>
      <c r="L10" t="s">
        <v>20</v>
      </c>
      <c r="M10">
        <f t="shared" si="1"/>
        <v>713162.28</v>
      </c>
      <c r="N10" t="s">
        <v>21</v>
      </c>
      <c r="O10">
        <f t="shared" si="2"/>
        <v>832342.56</v>
      </c>
      <c r="P10" t="s">
        <v>22</v>
      </c>
      <c r="Q10" t="str">
        <f t="shared" si="3"/>
        <v>770597.49(713162.28,832342.56)</v>
      </c>
    </row>
    <row r="11" spans="1:17">
      <c r="A11" s="5" t="s">
        <v>11</v>
      </c>
      <c r="B11" s="5" t="s">
        <v>91</v>
      </c>
      <c r="C11" s="5" t="s">
        <v>1114</v>
      </c>
      <c r="D11" s="5" t="s">
        <v>14</v>
      </c>
      <c r="E11" s="5" t="s">
        <v>15</v>
      </c>
      <c r="F11" s="5" t="s">
        <v>16</v>
      </c>
      <c r="G11" s="5">
        <v>2021</v>
      </c>
      <c r="H11" s="5">
        <v>837525.739630124</v>
      </c>
      <c r="I11" s="5">
        <v>896271.178227963</v>
      </c>
      <c r="J11" s="5">
        <v>767606.774795215</v>
      </c>
      <c r="K11" s="5">
        <f t="shared" si="0"/>
        <v>837525.74</v>
      </c>
      <c r="L11" t="s">
        <v>20</v>
      </c>
      <c r="M11">
        <f t="shared" si="1"/>
        <v>767606.77</v>
      </c>
      <c r="N11" t="s">
        <v>21</v>
      </c>
      <c r="O11">
        <f t="shared" si="2"/>
        <v>896271.18</v>
      </c>
      <c r="P11" t="s">
        <v>22</v>
      </c>
      <c r="Q11" t="str">
        <f t="shared" si="3"/>
        <v>837525.74(767606.77,896271.18)</v>
      </c>
    </row>
    <row r="12" spans="1:17">
      <c r="A12" s="5" t="s">
        <v>11</v>
      </c>
      <c r="B12" s="5" t="s">
        <v>91</v>
      </c>
      <c r="C12" s="5" t="s">
        <v>1113</v>
      </c>
      <c r="D12" s="5" t="s">
        <v>27</v>
      </c>
      <c r="E12" s="5" t="s">
        <v>15</v>
      </c>
      <c r="F12" s="5" t="s">
        <v>23</v>
      </c>
      <c r="G12" s="5">
        <v>2021</v>
      </c>
      <c r="H12" s="5">
        <v>20.2698469428704</v>
      </c>
      <c r="I12" s="5">
        <v>21.8611867566164</v>
      </c>
      <c r="J12" s="5">
        <v>18.6671674005939</v>
      </c>
      <c r="K12" s="5">
        <f t="shared" si="0"/>
        <v>20.27</v>
      </c>
      <c r="L12" t="s">
        <v>20</v>
      </c>
      <c r="M12">
        <f t="shared" si="1"/>
        <v>18.67</v>
      </c>
      <c r="N12" t="s">
        <v>21</v>
      </c>
      <c r="O12">
        <f t="shared" si="2"/>
        <v>21.86</v>
      </c>
      <c r="P12" t="s">
        <v>22</v>
      </c>
      <c r="Q12" t="str">
        <f t="shared" si="3"/>
        <v>20.27(18.67,21.86)</v>
      </c>
    </row>
    <row r="13" spans="1:17">
      <c r="A13" s="5" t="s">
        <v>11</v>
      </c>
      <c r="B13" s="5" t="s">
        <v>91</v>
      </c>
      <c r="C13" s="5" t="s">
        <v>1114</v>
      </c>
      <c r="D13" s="5" t="s">
        <v>27</v>
      </c>
      <c r="E13" s="5" t="s">
        <v>15</v>
      </c>
      <c r="F13" s="5" t="s">
        <v>23</v>
      </c>
      <c r="G13" s="5">
        <v>2021</v>
      </c>
      <c r="H13" s="5">
        <v>18.0259576365617</v>
      </c>
      <c r="I13" s="5">
        <v>19.2873881916062</v>
      </c>
      <c r="J13" s="5">
        <v>16.5391936157787</v>
      </c>
      <c r="K13" s="5">
        <f t="shared" si="0"/>
        <v>18.03</v>
      </c>
      <c r="L13" t="s">
        <v>20</v>
      </c>
      <c r="M13">
        <f t="shared" si="1"/>
        <v>16.54</v>
      </c>
      <c r="N13" t="s">
        <v>21</v>
      </c>
      <c r="O13">
        <f t="shared" si="2"/>
        <v>19.29</v>
      </c>
      <c r="P13" t="s">
        <v>22</v>
      </c>
      <c r="Q13" t="str">
        <f t="shared" si="3"/>
        <v>18.03(16.54,19.29)</v>
      </c>
    </row>
    <row r="14" spans="1:17">
      <c r="A14" s="5" t="s">
        <v>267</v>
      </c>
      <c r="B14" s="5" t="s">
        <v>91</v>
      </c>
      <c r="C14" s="5" t="s">
        <v>1113</v>
      </c>
      <c r="D14" s="5" t="s">
        <v>14</v>
      </c>
      <c r="E14" s="5" t="s">
        <v>15</v>
      </c>
      <c r="F14" s="5" t="s">
        <v>16</v>
      </c>
      <c r="G14" s="5">
        <v>2021</v>
      </c>
      <c r="H14" s="5">
        <v>38191926.5847829</v>
      </c>
      <c r="I14" s="5">
        <v>46244866.8625672</v>
      </c>
      <c r="J14" s="5">
        <v>31794355.2711717</v>
      </c>
      <c r="K14" s="5">
        <f t="shared" si="0"/>
        <v>38191926.58</v>
      </c>
      <c r="L14" t="s">
        <v>20</v>
      </c>
      <c r="M14">
        <f t="shared" si="1"/>
        <v>31794355.27</v>
      </c>
      <c r="N14" t="s">
        <v>21</v>
      </c>
      <c r="O14">
        <f t="shared" si="2"/>
        <v>46244866.86</v>
      </c>
      <c r="P14" t="s">
        <v>22</v>
      </c>
      <c r="Q14" t="str">
        <f t="shared" si="3"/>
        <v>38191926.58(31794355.27,46244866.86)</v>
      </c>
    </row>
    <row r="15" spans="1:17">
      <c r="A15" s="5" t="s">
        <v>267</v>
      </c>
      <c r="B15" s="5" t="s">
        <v>91</v>
      </c>
      <c r="C15" s="5" t="s">
        <v>1114</v>
      </c>
      <c r="D15" s="5" t="s">
        <v>14</v>
      </c>
      <c r="E15" s="5" t="s">
        <v>15</v>
      </c>
      <c r="F15" s="5" t="s">
        <v>16</v>
      </c>
      <c r="G15" s="5">
        <v>2021</v>
      </c>
      <c r="H15" s="5">
        <v>37148947.129068</v>
      </c>
      <c r="I15" s="5">
        <v>44557142.5042475</v>
      </c>
      <c r="J15" s="5">
        <v>31476023.9718794</v>
      </c>
      <c r="K15" s="5">
        <f t="shared" si="0"/>
        <v>37148947.13</v>
      </c>
      <c r="L15" t="s">
        <v>20</v>
      </c>
      <c r="M15">
        <f t="shared" si="1"/>
        <v>31476023.97</v>
      </c>
      <c r="N15" t="s">
        <v>21</v>
      </c>
      <c r="O15">
        <f t="shared" si="2"/>
        <v>44557142.5</v>
      </c>
      <c r="P15" t="s">
        <v>22</v>
      </c>
      <c r="Q15" t="str">
        <f t="shared" si="3"/>
        <v>37148947.13(31476023.97,44557142.5)</v>
      </c>
    </row>
    <row r="16" spans="1:17">
      <c r="A16" s="5" t="s">
        <v>267</v>
      </c>
      <c r="B16" s="5" t="s">
        <v>91</v>
      </c>
      <c r="C16" s="5" t="s">
        <v>1113</v>
      </c>
      <c r="D16" s="5" t="s">
        <v>27</v>
      </c>
      <c r="E16" s="5" t="s">
        <v>15</v>
      </c>
      <c r="F16" s="5" t="s">
        <v>23</v>
      </c>
      <c r="G16" s="5">
        <v>2021</v>
      </c>
      <c r="H16" s="5">
        <v>929.609757367251</v>
      </c>
      <c r="I16" s="5">
        <v>1122.73394814611</v>
      </c>
      <c r="J16" s="5">
        <v>776.441745580121</v>
      </c>
      <c r="K16" s="5">
        <f t="shared" si="0"/>
        <v>929.61</v>
      </c>
      <c r="L16" t="s">
        <v>20</v>
      </c>
      <c r="M16">
        <f t="shared" si="1"/>
        <v>776.44</v>
      </c>
      <c r="N16" t="s">
        <v>21</v>
      </c>
      <c r="O16">
        <f t="shared" si="2"/>
        <v>1122.73</v>
      </c>
      <c r="P16" t="s">
        <v>22</v>
      </c>
      <c r="Q16" t="str">
        <f t="shared" si="3"/>
        <v>929.61(776.44,1122.73)</v>
      </c>
    </row>
    <row r="17" spans="1:17">
      <c r="A17" s="5" t="s">
        <v>267</v>
      </c>
      <c r="B17" s="5" t="s">
        <v>91</v>
      </c>
      <c r="C17" s="5" t="s">
        <v>1114</v>
      </c>
      <c r="D17" s="5" t="s">
        <v>27</v>
      </c>
      <c r="E17" s="5" t="s">
        <v>15</v>
      </c>
      <c r="F17" s="5" t="s">
        <v>23</v>
      </c>
      <c r="G17" s="5">
        <v>2021</v>
      </c>
      <c r="H17" s="5">
        <v>819.391393506623</v>
      </c>
      <c r="I17" s="5">
        <v>983.100221354923</v>
      </c>
      <c r="J17" s="5">
        <v>693.174357918853</v>
      </c>
      <c r="K17" s="5">
        <f t="shared" si="0"/>
        <v>819.39</v>
      </c>
      <c r="L17" t="s">
        <v>20</v>
      </c>
      <c r="M17">
        <f t="shared" si="1"/>
        <v>693.17</v>
      </c>
      <c r="N17" t="s">
        <v>21</v>
      </c>
      <c r="O17">
        <f t="shared" si="2"/>
        <v>983.1</v>
      </c>
      <c r="P17" t="s">
        <v>22</v>
      </c>
      <c r="Q17" t="str">
        <f t="shared" si="3"/>
        <v>819.39(693.17,983.1)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topLeftCell="C1" workbookViewId="0">
      <selection activeCell="A4" sqref="A4:Q5"/>
    </sheetView>
  </sheetViews>
  <sheetFormatPr defaultColWidth="8.66666666666667" defaultRowHeight="14"/>
  <cols>
    <col min="1" max="1" width="45.6666666666667" customWidth="1"/>
    <col min="5" max="5" width="0.633333333333333" customWidth="1"/>
    <col min="9" max="9" width="0.633333333333333" customWidth="1"/>
    <col min="13" max="13" width="0.633333333333333" customWidth="1"/>
  </cols>
  <sheetData>
    <row r="1" spans="1:16">
      <c r="A1" s="1" t="s">
        <v>1</v>
      </c>
      <c r="B1" s="2" t="s">
        <v>736</v>
      </c>
      <c r="C1" s="2"/>
      <c r="D1" s="2"/>
      <c r="E1" s="2"/>
      <c r="F1" s="3" t="s">
        <v>502</v>
      </c>
      <c r="G1" s="3"/>
      <c r="H1" s="3"/>
      <c r="I1" s="3"/>
      <c r="J1" s="3" t="s">
        <v>11</v>
      </c>
      <c r="K1" s="3"/>
      <c r="L1" s="3"/>
      <c r="M1" s="3"/>
      <c r="N1" s="3" t="s">
        <v>1115</v>
      </c>
      <c r="O1" s="3"/>
      <c r="P1" s="3"/>
    </row>
    <row r="2" spans="1:16">
      <c r="A2" s="1"/>
      <c r="B2" s="4" t="s">
        <v>954</v>
      </c>
      <c r="C2" s="4" t="s">
        <v>955</v>
      </c>
      <c r="D2" s="4" t="s">
        <v>956</v>
      </c>
      <c r="E2" s="4"/>
      <c r="F2" s="4" t="s">
        <v>954</v>
      </c>
      <c r="G2" s="4" t="s">
        <v>955</v>
      </c>
      <c r="H2" s="4" t="s">
        <v>956</v>
      </c>
      <c r="I2" s="4"/>
      <c r="J2" s="4" t="s">
        <v>954</v>
      </c>
      <c r="K2" s="4" t="s">
        <v>955</v>
      </c>
      <c r="L2" s="4" t="s">
        <v>956</v>
      </c>
      <c r="M2" s="4"/>
      <c r="N2" s="4" t="s">
        <v>954</v>
      </c>
      <c r="O2" s="4" t="s">
        <v>955</v>
      </c>
      <c r="P2" s="4" t="s">
        <v>956</v>
      </c>
    </row>
    <row r="3" spans="1:16">
      <c r="A3" s="1" t="s">
        <v>91</v>
      </c>
      <c r="B3" s="4" t="s">
        <v>957</v>
      </c>
      <c r="C3" s="4" t="s">
        <v>958</v>
      </c>
      <c r="D3" s="4" t="s">
        <v>959</v>
      </c>
      <c r="E3" s="4"/>
      <c r="F3" s="4" t="s">
        <v>996</v>
      </c>
      <c r="G3" s="4" t="s">
        <v>997</v>
      </c>
      <c r="H3" s="4" t="s">
        <v>998</v>
      </c>
      <c r="I3" s="4"/>
      <c r="J3" s="4" t="s">
        <v>1035</v>
      </c>
      <c r="K3" s="4" t="s">
        <v>1036</v>
      </c>
      <c r="L3" s="4" t="s">
        <v>1037</v>
      </c>
      <c r="M3" s="4"/>
      <c r="N3" s="4" t="s">
        <v>1074</v>
      </c>
      <c r="O3" s="4" t="s">
        <v>1075</v>
      </c>
      <c r="P3" s="4" t="s">
        <v>1076</v>
      </c>
    </row>
    <row r="4" spans="1:17">
      <c r="A4" s="1" t="s">
        <v>1116</v>
      </c>
      <c r="B4" s="4" t="s">
        <v>1117</v>
      </c>
      <c r="C4" s="4" t="s">
        <v>1118</v>
      </c>
      <c r="D4" s="4" t="s">
        <v>1119</v>
      </c>
      <c r="E4" s="4"/>
      <c r="F4" s="4" t="s">
        <v>1120</v>
      </c>
      <c r="G4" s="4" t="s">
        <v>1121</v>
      </c>
      <c r="H4" s="4" t="s">
        <v>1122</v>
      </c>
      <c r="I4" s="4"/>
      <c r="J4" s="4" t="s">
        <v>1123</v>
      </c>
      <c r="K4" s="4" t="s">
        <v>1124</v>
      </c>
      <c r="L4" s="4" t="s">
        <v>1125</v>
      </c>
      <c r="M4" s="4"/>
      <c r="N4" s="4" t="s">
        <v>1126</v>
      </c>
      <c r="O4" s="4" t="s">
        <v>1127</v>
      </c>
      <c r="P4" s="4" t="s">
        <v>1128</v>
      </c>
      <c r="Q4" s="4"/>
    </row>
    <row r="5" spans="1:17">
      <c r="A5" s="1" t="s">
        <v>1129</v>
      </c>
      <c r="B5" s="4" t="s">
        <v>1130</v>
      </c>
      <c r="C5" s="4" t="s">
        <v>1131</v>
      </c>
      <c r="D5" s="4" t="s">
        <v>1132</v>
      </c>
      <c r="E5" s="4"/>
      <c r="F5" s="4" t="s">
        <v>1133</v>
      </c>
      <c r="G5" s="4" t="s">
        <v>1134</v>
      </c>
      <c r="H5" s="4" t="s">
        <v>1135</v>
      </c>
      <c r="I5" s="4"/>
      <c r="J5" s="4" t="s">
        <v>1136</v>
      </c>
      <c r="K5" s="4" t="s">
        <v>1137</v>
      </c>
      <c r="L5" s="4" t="s">
        <v>1138</v>
      </c>
      <c r="M5" s="4"/>
      <c r="N5" s="4" t="s">
        <v>1139</v>
      </c>
      <c r="O5" s="4" t="s">
        <v>1140</v>
      </c>
      <c r="P5" s="4" t="s">
        <v>1141</v>
      </c>
      <c r="Q5" s="4"/>
    </row>
    <row r="6" spans="1:17">
      <c r="A6" s="1" t="s">
        <v>81</v>
      </c>
      <c r="B6" s="4" t="s">
        <v>960</v>
      </c>
      <c r="C6" s="4" t="s">
        <v>961</v>
      </c>
      <c r="D6" s="4" t="s">
        <v>962</v>
      </c>
      <c r="E6" s="4"/>
      <c r="F6" s="4" t="s">
        <v>999</v>
      </c>
      <c r="G6" s="4" t="s">
        <v>1000</v>
      </c>
      <c r="H6" s="4" t="s">
        <v>1001</v>
      </c>
      <c r="I6" s="4"/>
      <c r="J6" s="4" t="s">
        <v>1038</v>
      </c>
      <c r="K6" s="4" t="s">
        <v>1039</v>
      </c>
      <c r="L6" s="4" t="s">
        <v>1040</v>
      </c>
      <c r="M6" s="4"/>
      <c r="N6" s="4" t="s">
        <v>1077</v>
      </c>
      <c r="O6" s="4" t="s">
        <v>1078</v>
      </c>
      <c r="P6" s="4" t="s">
        <v>1079</v>
      </c>
      <c r="Q6" s="4"/>
    </row>
    <row r="7" spans="1:16">
      <c r="A7" s="1" t="s">
        <v>100</v>
      </c>
      <c r="B7" s="4" t="s">
        <v>963</v>
      </c>
      <c r="C7" s="4" t="s">
        <v>964</v>
      </c>
      <c r="D7" s="4" t="s">
        <v>965</v>
      </c>
      <c r="E7" s="4"/>
      <c r="F7" s="4" t="s">
        <v>1002</v>
      </c>
      <c r="G7" s="4" t="s">
        <v>1003</v>
      </c>
      <c r="H7" s="4" t="s">
        <v>1004</v>
      </c>
      <c r="I7" s="4"/>
      <c r="J7" s="4" t="s">
        <v>1041</v>
      </c>
      <c r="K7" s="4" t="s">
        <v>1042</v>
      </c>
      <c r="L7" s="4" t="s">
        <v>1043</v>
      </c>
      <c r="M7" s="4"/>
      <c r="N7" s="4" t="s">
        <v>1080</v>
      </c>
      <c r="O7" s="4" t="s">
        <v>1081</v>
      </c>
      <c r="P7" s="4" t="s">
        <v>1082</v>
      </c>
    </row>
    <row r="8" spans="1:16">
      <c r="A8" s="1" t="s">
        <v>12</v>
      </c>
      <c r="B8" s="4" t="s">
        <v>966</v>
      </c>
      <c r="C8" s="4" t="s">
        <v>967</v>
      </c>
      <c r="D8" s="4" t="s">
        <v>968</v>
      </c>
      <c r="E8" s="4"/>
      <c r="F8" s="4" t="s">
        <v>1005</v>
      </c>
      <c r="G8" s="4" t="s">
        <v>1006</v>
      </c>
      <c r="H8" s="4" t="s">
        <v>1007</v>
      </c>
      <c r="I8" s="4"/>
      <c r="J8" s="4" t="s">
        <v>1044</v>
      </c>
      <c r="K8" s="4" t="s">
        <v>1045</v>
      </c>
      <c r="L8" s="4" t="s">
        <v>1046</v>
      </c>
      <c r="M8" s="4"/>
      <c r="N8" s="4" t="s">
        <v>1083</v>
      </c>
      <c r="O8" s="4" t="s">
        <v>1084</v>
      </c>
      <c r="P8" s="4" t="s">
        <v>1085</v>
      </c>
    </row>
    <row r="9" spans="1:16">
      <c r="A9" s="1" t="s">
        <v>130</v>
      </c>
      <c r="B9" s="4" t="s">
        <v>969</v>
      </c>
      <c r="C9" s="4" t="s">
        <v>970</v>
      </c>
      <c r="D9" s="4" t="s">
        <v>971</v>
      </c>
      <c r="E9" s="4"/>
      <c r="F9" s="4" t="s">
        <v>1008</v>
      </c>
      <c r="G9" s="4" t="s">
        <v>1009</v>
      </c>
      <c r="H9" s="4" t="s">
        <v>1010</v>
      </c>
      <c r="I9" s="4"/>
      <c r="J9" s="4" t="s">
        <v>1047</v>
      </c>
      <c r="K9" s="4" t="s">
        <v>1048</v>
      </c>
      <c r="L9" s="4" t="s">
        <v>1049</v>
      </c>
      <c r="M9" s="4"/>
      <c r="N9" s="4" t="s">
        <v>1086</v>
      </c>
      <c r="O9" s="4" t="s">
        <v>1087</v>
      </c>
      <c r="P9" s="4" t="s">
        <v>1088</v>
      </c>
    </row>
    <row r="10" spans="1:16">
      <c r="A10" s="1" t="s">
        <v>31</v>
      </c>
      <c r="B10" s="4" t="s">
        <v>972</v>
      </c>
      <c r="C10" s="4" t="s">
        <v>973</v>
      </c>
      <c r="D10" s="4" t="s">
        <v>974</v>
      </c>
      <c r="E10" s="4"/>
      <c r="F10" s="4" t="s">
        <v>1011</v>
      </c>
      <c r="G10" s="4" t="s">
        <v>1012</v>
      </c>
      <c r="H10" s="4" t="s">
        <v>1013</v>
      </c>
      <c r="I10" s="4"/>
      <c r="J10" s="4" t="s">
        <v>1050</v>
      </c>
      <c r="K10" s="4" t="s">
        <v>1051</v>
      </c>
      <c r="L10" s="4" t="s">
        <v>1052</v>
      </c>
      <c r="M10" s="4"/>
      <c r="N10" s="4" t="s">
        <v>1089</v>
      </c>
      <c r="O10" s="4" t="s">
        <v>1090</v>
      </c>
      <c r="P10" s="4" t="s">
        <v>1091</v>
      </c>
    </row>
    <row r="11" spans="1:16">
      <c r="A11" s="1" t="s">
        <v>51</v>
      </c>
      <c r="B11" s="4" t="s">
        <v>975</v>
      </c>
      <c r="C11" s="4" t="s">
        <v>976</v>
      </c>
      <c r="D11" s="4" t="s">
        <v>977</v>
      </c>
      <c r="E11" s="4"/>
      <c r="F11" s="4" t="s">
        <v>1014</v>
      </c>
      <c r="G11" s="4" t="s">
        <v>1015</v>
      </c>
      <c r="H11" s="4" t="s">
        <v>1016</v>
      </c>
      <c r="I11" s="4"/>
      <c r="J11" s="4" t="s">
        <v>1053</v>
      </c>
      <c r="K11" s="4" t="s">
        <v>1054</v>
      </c>
      <c r="L11" s="4" t="s">
        <v>1055</v>
      </c>
      <c r="M11" s="4"/>
      <c r="N11" s="4" t="s">
        <v>1092</v>
      </c>
      <c r="O11" s="4" t="s">
        <v>1093</v>
      </c>
      <c r="P11" s="4" t="s">
        <v>1094</v>
      </c>
    </row>
    <row r="12" spans="1:16">
      <c r="A12" s="1" t="s">
        <v>120</v>
      </c>
      <c r="B12" s="4" t="s">
        <v>978</v>
      </c>
      <c r="C12" s="4" t="s">
        <v>979</v>
      </c>
      <c r="D12" s="4" t="s">
        <v>980</v>
      </c>
      <c r="E12" s="4"/>
      <c r="F12" s="4" t="s">
        <v>1017</v>
      </c>
      <c r="G12" s="4" t="s">
        <v>1018</v>
      </c>
      <c r="H12" s="4" t="s">
        <v>1019</v>
      </c>
      <c r="I12" s="4"/>
      <c r="J12" s="4" t="s">
        <v>1056</v>
      </c>
      <c r="K12" s="4" t="s">
        <v>1057</v>
      </c>
      <c r="L12" s="4" t="s">
        <v>1058</v>
      </c>
      <c r="M12" s="4"/>
      <c r="N12" s="4" t="s">
        <v>1095</v>
      </c>
      <c r="O12" s="4" t="s">
        <v>1096</v>
      </c>
      <c r="P12" s="4" t="s">
        <v>1097</v>
      </c>
    </row>
    <row r="13" spans="1:16">
      <c r="A13" s="1" t="s">
        <v>71</v>
      </c>
      <c r="B13" s="4" t="s">
        <v>981</v>
      </c>
      <c r="C13" s="4" t="s">
        <v>982</v>
      </c>
      <c r="D13" s="4" t="s">
        <v>983</v>
      </c>
      <c r="E13" s="4"/>
      <c r="F13" s="4" t="s">
        <v>1020</v>
      </c>
      <c r="G13" s="4" t="s">
        <v>1021</v>
      </c>
      <c r="H13" s="4" t="s">
        <v>1022</v>
      </c>
      <c r="I13" s="4"/>
      <c r="J13" s="4" t="s">
        <v>1059</v>
      </c>
      <c r="K13" s="4" t="s">
        <v>1060</v>
      </c>
      <c r="L13" s="4" t="s">
        <v>1061</v>
      </c>
      <c r="M13" s="4"/>
      <c r="N13" s="4" t="s">
        <v>1098</v>
      </c>
      <c r="O13" s="4" t="s">
        <v>1099</v>
      </c>
      <c r="P13" s="4" t="s">
        <v>1100</v>
      </c>
    </row>
    <row r="14" spans="1:16">
      <c r="A14" s="1" t="s">
        <v>41</v>
      </c>
      <c r="B14" s="4" t="s">
        <v>984</v>
      </c>
      <c r="C14" s="4" t="s">
        <v>985</v>
      </c>
      <c r="D14" s="4" t="s">
        <v>986</v>
      </c>
      <c r="E14" s="4"/>
      <c r="F14" s="4" t="s">
        <v>1023</v>
      </c>
      <c r="G14" s="4" t="s">
        <v>1024</v>
      </c>
      <c r="H14" s="4" t="s">
        <v>1025</v>
      </c>
      <c r="I14" s="4"/>
      <c r="J14" s="4" t="s">
        <v>1062</v>
      </c>
      <c r="K14" s="4" t="s">
        <v>1063</v>
      </c>
      <c r="L14" s="4" t="s">
        <v>1064</v>
      </c>
      <c r="M14" s="4"/>
      <c r="N14" s="4" t="s">
        <v>1101</v>
      </c>
      <c r="O14" s="4" t="s">
        <v>1102</v>
      </c>
      <c r="P14" s="4" t="s">
        <v>1103</v>
      </c>
    </row>
    <row r="15" spans="1:16">
      <c r="A15" s="1" t="s">
        <v>110</v>
      </c>
      <c r="B15" s="4" t="s">
        <v>987</v>
      </c>
      <c r="C15" s="4" t="s">
        <v>988</v>
      </c>
      <c r="D15" s="4" t="s">
        <v>989</v>
      </c>
      <c r="E15" s="4"/>
      <c r="F15" s="4" t="s">
        <v>1026</v>
      </c>
      <c r="G15" s="4" t="s">
        <v>1027</v>
      </c>
      <c r="H15" s="4" t="s">
        <v>1028</v>
      </c>
      <c r="I15" s="4"/>
      <c r="J15" s="4" t="s">
        <v>1065</v>
      </c>
      <c r="K15" s="4" t="s">
        <v>1066</v>
      </c>
      <c r="L15" s="4" t="s">
        <v>1067</v>
      </c>
      <c r="M15" s="4"/>
      <c r="N15" s="4" t="s">
        <v>1104</v>
      </c>
      <c r="O15" s="4" t="s">
        <v>1105</v>
      </c>
      <c r="P15" s="4" t="s">
        <v>1106</v>
      </c>
    </row>
    <row r="16" spans="1:16">
      <c r="A16" s="1" t="s">
        <v>61</v>
      </c>
      <c r="B16" s="4" t="s">
        <v>990</v>
      </c>
      <c r="C16" s="4" t="s">
        <v>991</v>
      </c>
      <c r="D16" s="4" t="s">
        <v>992</v>
      </c>
      <c r="E16" s="4"/>
      <c r="F16" s="4" t="s">
        <v>1029</v>
      </c>
      <c r="G16" s="4" t="s">
        <v>1030</v>
      </c>
      <c r="H16" s="4" t="s">
        <v>1031</v>
      </c>
      <c r="I16" s="4"/>
      <c r="J16" s="4" t="s">
        <v>1068</v>
      </c>
      <c r="K16" s="4" t="s">
        <v>1069</v>
      </c>
      <c r="L16" s="4" t="s">
        <v>1070</v>
      </c>
      <c r="M16" s="4"/>
      <c r="N16" s="4" t="s">
        <v>1107</v>
      </c>
      <c r="O16" s="4" t="s">
        <v>1108</v>
      </c>
      <c r="P16" s="4" t="s">
        <v>1109</v>
      </c>
    </row>
    <row r="17" spans="1:16">
      <c r="A17" s="1" t="s">
        <v>140</v>
      </c>
      <c r="B17" s="4" t="s">
        <v>993</v>
      </c>
      <c r="C17" s="4" t="s">
        <v>994</v>
      </c>
      <c r="D17" s="4" t="s">
        <v>995</v>
      </c>
      <c r="E17" s="4"/>
      <c r="F17" s="4" t="s">
        <v>1032</v>
      </c>
      <c r="G17" s="4" t="s">
        <v>1033</v>
      </c>
      <c r="H17" s="4" t="s">
        <v>1034</v>
      </c>
      <c r="I17" s="4"/>
      <c r="J17" s="4" t="s">
        <v>1071</v>
      </c>
      <c r="K17" s="4" t="s">
        <v>1072</v>
      </c>
      <c r="L17" s="4" t="s">
        <v>1073</v>
      </c>
      <c r="M17" s="4"/>
      <c r="N17" s="4" t="s">
        <v>1110</v>
      </c>
      <c r="O17" s="4" t="s">
        <v>1111</v>
      </c>
      <c r="P17" s="4" t="s">
        <v>1112</v>
      </c>
    </row>
  </sheetData>
  <mergeCells count="4">
    <mergeCell ref="B1:D1"/>
    <mergeCell ref="F1:H1"/>
    <mergeCell ref="J1:L1"/>
    <mergeCell ref="N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Table2数据</vt:lpstr>
      <vt:lpstr>Incidence</vt:lpstr>
      <vt:lpstr>Prevalence</vt:lpstr>
      <vt:lpstr>Deaths</vt:lpstr>
      <vt:lpstr>DALYs</vt:lpstr>
      <vt:lpstr>性别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见荣 李</dc:creator>
  <cp:lastModifiedBy>沧桑轮回</cp:lastModifiedBy>
  <dcterms:created xsi:type="dcterms:W3CDTF">2025-08-07T11:57:00Z</dcterms:created>
  <dcterms:modified xsi:type="dcterms:W3CDTF">2025-09-18T11:40:29Z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22EDFC88D73F4BD283C4F3493524B783_12</vt:lpwstr>
  </property>
  <property fmtid="{D5CDD505-2E9C-101B-9397-08002B2CF9AE}" pid="3" name="KSOProductBuildVer">
    <vt:lpwstr>2052-12.1.0.22529</vt:lpwstr>
  </property>
</Properties>
</file>