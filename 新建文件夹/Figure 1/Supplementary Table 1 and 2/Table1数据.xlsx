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6"/>
  </bookViews>
  <sheets>
    <sheet name="Table数据" sheetId="1" r:id="rId1"/>
    <sheet name="Incidence" sheetId="9" r:id="rId2"/>
    <sheet name="Prevalence" sheetId="11" r:id="rId3"/>
    <sheet name="Deaths" sheetId="10" r:id="rId4"/>
    <sheet name="DALYs" sheetId="12" r:id="rId5"/>
    <sheet name="性别" sheetId="15" r:id="rId6"/>
    <sheet name="汇总" sheetId="14" r:id="rId7"/>
  </sheets>
  <definedNames>
    <definedName name="_xlnm._FilterDatabase" localSheetId="0" hidden="1">Table数据!$A$1:$R$157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<sst xmlns="http://schemas.openxmlformats.org/spreadsheetml/2006/main" count="2465" uniqueCount="688">
  <si>
    <t>measure_name</t>
  </si>
  <si>
    <t>location_name</t>
  </si>
  <si>
    <t>sex_name</t>
  </si>
  <si>
    <t>age_name</t>
  </si>
  <si>
    <t>cause_name</t>
  </si>
  <si>
    <t>metric_name</t>
  </si>
  <si>
    <t>year</t>
  </si>
  <si>
    <t>val</t>
  </si>
  <si>
    <t>lower</t>
  </si>
  <si>
    <t>upper</t>
  </si>
  <si>
    <t>XXX</t>
  </si>
  <si>
    <t>Deaths</t>
  </si>
  <si>
    <t>North Africa and Middle East</t>
  </si>
  <si>
    <t>Both</t>
  </si>
  <si>
    <t>All ages</t>
  </si>
  <si>
    <t>Ischemic heart disease</t>
  </si>
  <si>
    <t>Number</t>
  </si>
  <si>
    <t>769135.1383939967</t>
  </si>
  <si>
    <t>685360.0139805381</t>
  </si>
  <si>
    <t>858253.1586990457</t>
  </si>
  <si>
    <t>（</t>
  </si>
  <si>
    <t>,</t>
  </si>
  <si>
    <t>)</t>
  </si>
  <si>
    <t>Rate</t>
  </si>
  <si>
    <t>123.45667086464816</t>
  </si>
  <si>
    <t>110.00962177656042</t>
  </si>
  <si>
    <t>137.76132755200595</t>
  </si>
  <si>
    <t>Age-standardized</t>
  </si>
  <si>
    <t>202.84901134596834</t>
  </si>
  <si>
    <t>180.591073413277</t>
  </si>
  <si>
    <t>223.67854809971266</t>
  </si>
  <si>
    <t>High SDI</t>
  </si>
  <si>
    <t>1392371.0477918647</t>
  </si>
  <si>
    <t>1217171.5558338696</t>
  </si>
  <si>
    <t>1489069.661161247</t>
  </si>
  <si>
    <t>127.26785152660948</t>
  </si>
  <si>
    <t>111.25397148694005</t>
  </si>
  <si>
    <t>136.1064616001528</t>
  </si>
  <si>
    <t>58.45077993119951</t>
  </si>
  <si>
    <t>52.180466989901554</t>
  </si>
  <si>
    <t>61.92414872325616</t>
  </si>
  <si>
    <t>South Asia</t>
  </si>
  <si>
    <t>1990113.467351809</t>
  </si>
  <si>
    <t>1824490.2917515365</t>
  </si>
  <si>
    <t>2155696.1079867696</t>
  </si>
  <si>
    <t>107.77343649517493</t>
  </si>
  <si>
    <t>98.80420982015666</t>
  </si>
  <si>
    <t>116.74046802274006</t>
  </si>
  <si>
    <t>149.13706237726177</t>
  </si>
  <si>
    <t>136.97267146144935</t>
  </si>
  <si>
    <t>161.16366830244473</t>
  </si>
  <si>
    <t>Low-middle SDI</t>
  </si>
  <si>
    <t>1834652.9104480164</t>
  </si>
  <si>
    <t>1699506.1781199102</t>
  </si>
  <si>
    <t>1964078.890869564</t>
  </si>
  <si>
    <t>95.49951284033259</t>
  </si>
  <si>
    <t>88.46469604975756</t>
  </si>
  <si>
    <t>102.23654631884587</t>
  </si>
  <si>
    <t>142.09804014756952</t>
  </si>
  <si>
    <t>131.303541092371</t>
  </si>
  <si>
    <t>151.8661531880887</t>
  </si>
  <si>
    <t>Low SDI</t>
  </si>
  <si>
    <t>493475.8380314155</t>
  </si>
  <si>
    <t>448128.79471850995</t>
  </si>
  <si>
    <t>543115.1647402832</t>
  </si>
  <si>
    <t>44.1635516987902</t>
  </si>
  <si>
    <t>40.10522434536607</t>
  </si>
  <si>
    <t>48.60601635956381</t>
  </si>
  <si>
    <t>116.41252581008999</t>
  </si>
  <si>
    <t>105.21238700903398</t>
  </si>
  <si>
    <t>127.69162699920241</t>
  </si>
  <si>
    <t>Middle SDI</t>
  </si>
  <si>
    <t>2811121.6202756623</t>
  </si>
  <si>
    <t>2564657.4418467744</t>
  </si>
  <si>
    <t>3023433.626365201</t>
  </si>
  <si>
    <t>114.80789037660534</t>
  </si>
  <si>
    <t>104.7421457376207</t>
  </si>
  <si>
    <t>123.47883984565571</t>
  </si>
  <si>
    <t>118.71376447148052</t>
  </si>
  <si>
    <t>107.23115993173305</t>
  </si>
  <si>
    <t>127.80496396105833</t>
  </si>
  <si>
    <t>High-income</t>
  </si>
  <si>
    <t>1308249.9928242513</t>
  </si>
  <si>
    <t>1123184.5431268055</t>
  </si>
  <si>
    <t>1403593.4234046293</t>
  </si>
  <si>
    <t>119.83976288230012</t>
  </si>
  <si>
    <t>102.88719286044235</t>
  </si>
  <si>
    <t>128.5735172685481</t>
  </si>
  <si>
    <t>51.025221783065</t>
  </si>
  <si>
    <t>44.918334991346896</t>
  </si>
  <si>
    <t>54.18233424214998</t>
  </si>
  <si>
    <t>Central Europe, Eastern Europe, and Central Asia</t>
  </si>
  <si>
    <t>1410299.932952975</t>
  </si>
  <si>
    <t>1295251.525334277</t>
  </si>
  <si>
    <t>1510117.538460148</t>
  </si>
  <si>
    <t>337.5281084406038</t>
  </si>
  <si>
    <t>309.9934893888015</t>
  </si>
  <si>
    <t>361.41752854811375</t>
  </si>
  <si>
    <t>213.62434013761194</t>
  </si>
  <si>
    <t>196.1029539579031</t>
  </si>
  <si>
    <t>228.76147471368765</t>
  </si>
  <si>
    <t>Global</t>
  </si>
  <si>
    <t>8991636.683642179</t>
  </si>
  <si>
    <t>8264123.214154982</t>
  </si>
  <si>
    <t>9531130.166103108</t>
  </si>
  <si>
    <t>113.94289852413658</t>
  </si>
  <si>
    <t>104.723776761852</t>
  </si>
  <si>
    <t>120.77941264156188</t>
  </si>
  <si>
    <t>108.72781963447102</t>
  </si>
  <si>
    <t>99.59704499337201</t>
  </si>
  <si>
    <t>115.38173785597742</t>
  </si>
  <si>
    <t>Southeast Asia, East Asia, and Oceania</t>
  </si>
  <si>
    <t>2657851.804111093</t>
  </si>
  <si>
    <t>2297472.945784911</t>
  </si>
  <si>
    <t>3001397.2219275837</t>
  </si>
  <si>
    <t>121.64041367972347</t>
  </si>
  <si>
    <t>105.14715647839347</t>
  </si>
  <si>
    <t>137.36326424510614</t>
  </si>
  <si>
    <t>110.44671026982545</t>
  </si>
  <si>
    <t>95.5090094692318</t>
  </si>
  <si>
    <t>124.45275778131845</t>
  </si>
  <si>
    <t>Sub-Saharan Africa</t>
  </si>
  <si>
    <t>352221.6705650969</t>
  </si>
  <si>
    <t>315177.5745732128</t>
  </si>
  <si>
    <t>393397.5086720381</t>
  </si>
  <si>
    <t>31.083192935452203</t>
  </si>
  <si>
    <t>27.814090324622534</t>
  </si>
  <si>
    <t>34.71691745360462</t>
  </si>
  <si>
    <t>92.85783408522134</t>
  </si>
  <si>
    <t>83.76981554128011</t>
  </si>
  <si>
    <t>102.80068114409264</t>
  </si>
  <si>
    <t>High-middle SDI</t>
  </si>
  <si>
    <t>2450426.3473649602</t>
  </si>
  <si>
    <t>2218836.4465544135</t>
  </si>
  <si>
    <t>2647300.4928413667</t>
  </si>
  <si>
    <t>187.9116229656126</t>
  </si>
  <si>
    <t>170.15208729519657</t>
  </si>
  <si>
    <t>203.0089713255099</t>
  </si>
  <si>
    <t>127.49533937037988</t>
  </si>
  <si>
    <t>115.02931806441343</t>
  </si>
  <si>
    <t>137.7221985255564</t>
  </si>
  <si>
    <t>Latin America and Caribbean</t>
  </si>
  <si>
    <t>503764.67744296265</t>
  </si>
  <si>
    <t>457004.0152271705</t>
  </si>
  <si>
    <t>544272.5032163238</t>
  </si>
  <si>
    <t>84.79191178073009</t>
  </si>
  <si>
    <t>76.92132036583506</t>
  </si>
  <si>
    <t>91.61004759532965</t>
  </si>
  <si>
    <t>83.81460821128718</t>
  </si>
  <si>
    <t>75.88528638052513</t>
  </si>
  <si>
    <t>90.56304659113034</t>
  </si>
  <si>
    <t>DALYs (Disability-Adjusted Life Years)</t>
  </si>
  <si>
    <t>46062373.82160055</t>
  </si>
  <si>
    <t>42687627.644538954</t>
  </si>
  <si>
    <t>49488217.32030295</t>
  </si>
  <si>
    <t>2397.692901573373</t>
  </si>
  <si>
    <t>2222.0266411958423</t>
  </si>
  <si>
    <t>2576.018939882934</t>
  </si>
  <si>
    <t>3138.5808120566376</t>
  </si>
  <si>
    <t>2912.6522737876526</t>
  </si>
  <si>
    <t>3360.623234412888</t>
  </si>
  <si>
    <t>50666052.863651104</t>
  </si>
  <si>
    <t>46308000.427396044</t>
  </si>
  <si>
    <t>54713621.318326496</t>
  </si>
  <si>
    <t>2743.7906030694658</t>
  </si>
  <si>
    <t>2507.7828099528397</t>
  </si>
  <si>
    <t>2962.984316878307</t>
  </si>
  <si>
    <t>3351.0944142038297</t>
  </si>
  <si>
    <t>3075.412466064394</t>
  </si>
  <si>
    <t>3616.422236089428</t>
  </si>
  <si>
    <t>25548159.774022266</t>
  </si>
  <si>
    <t>23641315.656034023</t>
  </si>
  <si>
    <t>27231042.1735548</t>
  </si>
  <si>
    <t>6114.459655832375</t>
  </si>
  <si>
    <t>5658.093266529617</t>
  </si>
  <si>
    <t>6517.22512420536</t>
  </si>
  <si>
    <t>3945.818562164823</t>
  </si>
  <si>
    <t>3656.5591992124128</t>
  </si>
  <si>
    <t>4205.048682875369</t>
  </si>
  <si>
    <t>10805609.099216847</t>
  </si>
  <si>
    <t>10005622.281131888</t>
  </si>
  <si>
    <t>11609601.325080357</t>
  </si>
  <si>
    <t>1818.7623993974596</t>
  </si>
  <si>
    <t>1684.1114110647434</t>
  </si>
  <si>
    <t>1954.0875639839144</t>
  </si>
  <si>
    <t>1741.791230794093</t>
  </si>
  <si>
    <t>1610.245201091349</t>
  </si>
  <si>
    <t>1871.2588913945763</t>
  </si>
  <si>
    <t>44542561.458876304</t>
  </si>
  <si>
    <t>41134046.45028248</t>
  </si>
  <si>
    <t>48044417.49227774</t>
  </si>
  <si>
    <t>3415.7586592160324</t>
  </si>
  <si>
    <t>3154.3757419713424</t>
  </si>
  <si>
    <t>3684.299458794038</t>
  </si>
  <si>
    <t>2301.492451586092</t>
  </si>
  <si>
    <t>2122.9733523503774</t>
  </si>
  <si>
    <t>2482.4638436156397</t>
  </si>
  <si>
    <t>18148597.815072406</t>
  </si>
  <si>
    <t>16140157.224863961</t>
  </si>
  <si>
    <t>20526102.821133167</t>
  </si>
  <si>
    <t>2913.0972637509612</t>
  </si>
  <si>
    <t>2590.715179616422</t>
  </si>
  <si>
    <t>3294.7192159415517</t>
  </si>
  <si>
    <t>4023.2232508015477</t>
  </si>
  <si>
    <t>3581.712108268768</t>
  </si>
  <si>
    <t>4507.4699890659</t>
  </si>
  <si>
    <t>8774473.887282409</t>
  </si>
  <si>
    <t>7793097.030232035</t>
  </si>
  <si>
    <t>9896944.536977548</t>
  </si>
  <si>
    <t>774.33811584594</t>
  </si>
  <si>
    <t>687.732637707289</t>
  </si>
  <si>
    <t>873.3949731735415</t>
  </si>
  <si>
    <t>1859.3585453018375</t>
  </si>
  <si>
    <t>1664.6361106905642</t>
  </si>
  <si>
    <t>2081.496623430084</t>
  </si>
  <si>
    <t>188360557.32268006</t>
  </si>
  <si>
    <t>177036930.4133399</t>
  </si>
  <si>
    <t>198154476.56482708</t>
  </si>
  <si>
    <t>2386.923384928668</t>
  </si>
  <si>
    <t>2243.4292784326394</t>
  </si>
  <si>
    <t>2511.032886415943</t>
  </si>
  <si>
    <t>2212.1626328064895</t>
  </si>
  <si>
    <t>2075.544839728473</t>
  </si>
  <si>
    <t>2327.612952390025</t>
  </si>
  <si>
    <t>53038213.701482475</t>
  </si>
  <si>
    <t>46680862.69459556</t>
  </si>
  <si>
    <t>59709522.08671728</t>
  </si>
  <si>
    <t>2427.3701963001718</t>
  </si>
  <si>
    <t>2136.4168763337243</t>
  </si>
  <si>
    <t>2732.692227614995</t>
  </si>
  <si>
    <t>2006.7343399534097</t>
  </si>
  <si>
    <t>1757.9481884310883</t>
  </si>
  <si>
    <t>2254.501236227157</t>
  </si>
  <si>
    <t>21379450.181952637</t>
  </si>
  <si>
    <t>19373473.232726708</t>
  </si>
  <si>
    <t>22509354.273093745</t>
  </si>
  <si>
    <t>1958.4240431204341</t>
  </si>
  <si>
    <t>1774.6703238304199</t>
  </si>
  <si>
    <t>2061.926767450498</t>
  </si>
  <si>
    <t>971.7351932894175</t>
  </si>
  <si>
    <t>899.9855692341501</t>
  </si>
  <si>
    <t>1012.7084729792294</t>
  </si>
  <si>
    <t>23546711.43734164</t>
  </si>
  <si>
    <t>21449543.861516226</t>
  </si>
  <si>
    <t>24737628.799281903</t>
  </si>
  <si>
    <t>2152.2563112038124</t>
  </si>
  <si>
    <t>1960.5674563616778</t>
  </si>
  <si>
    <t>2261.1105524926134</t>
  </si>
  <si>
    <t>1134.0204164876855</t>
  </si>
  <si>
    <t>1053.5612057091216</t>
  </si>
  <si>
    <t>1186.527894572931</t>
  </si>
  <si>
    <t>12778296.891492106</t>
  </si>
  <si>
    <t>11572088.23013913</t>
  </si>
  <si>
    <t>14121058.945239067</t>
  </si>
  <si>
    <t>1143.591908453228</t>
  </si>
  <si>
    <t>1035.6424315594875</t>
  </si>
  <si>
    <t>1263.7622122646405</t>
  </si>
  <si>
    <t>2464.1202194592674</t>
  </si>
  <si>
    <t>2235.865824875162</t>
  </si>
  <si>
    <t>2725.195662036895</t>
  </si>
  <si>
    <t>61242796.64997766</t>
  </si>
  <si>
    <t>56964813.149376996</t>
  </si>
  <si>
    <t>65533800.61134547</t>
  </si>
  <si>
    <t>2501.1924896575274</t>
  </si>
  <si>
    <t>2326.4770816768028</t>
  </si>
  <si>
    <t>2676.4396610531126</t>
  </si>
  <si>
    <t>2351.211545189709</t>
  </si>
  <si>
    <t>2174.8391335013403</t>
  </si>
  <si>
    <t>2514.627263921402</t>
  </si>
  <si>
    <t>Prevalence</t>
  </si>
  <si>
    <t>1363.0180268946701</t>
  </si>
  <si>
    <t>1198.2478656650599</t>
  </si>
  <si>
    <t>1559.7282550222099</t>
  </si>
  <si>
    <t>29272031.82468828</t>
  </si>
  <si>
    <t>25669841.227361582</t>
  </si>
  <si>
    <t>33583051.656480335</t>
  </si>
  <si>
    <t>2681.40903664812</t>
  </si>
  <si>
    <t>2351.43718921202</t>
  </si>
  <si>
    <t>3076.31184364722</t>
  </si>
  <si>
    <t>4260.76506358174</t>
  </si>
  <si>
    <t>3766.35456483801</t>
  </si>
  <si>
    <t>4857.46408796323</t>
  </si>
  <si>
    <t>27867060.33298455</t>
  </si>
  <si>
    <t>24525482.272129297</t>
  </si>
  <si>
    <t>31864556.500955995</t>
  </si>
  <si>
    <t>6669.443812776591</t>
  </si>
  <si>
    <t>5869.70150567353</t>
  </si>
  <si>
    <t>7626.16747740074</t>
  </si>
  <si>
    <t>4455.73435038985</t>
  </si>
  <si>
    <t>3796.72718988077</t>
  </si>
  <si>
    <t>5339.2048999967</t>
  </si>
  <si>
    <t>2368.1497366030603</t>
  </si>
  <si>
    <t>2070.59688188201</t>
  </si>
  <si>
    <t>2710.39044660952</t>
  </si>
  <si>
    <t>64277536.0380286</t>
  </si>
  <si>
    <t>54216694.53677067</t>
  </si>
  <si>
    <t>76364441.79304218</t>
  </si>
  <si>
    <t>3480.91255192546</t>
  </si>
  <si>
    <t>2936.07353625531</t>
  </si>
  <si>
    <t>4135.4718980036005</t>
  </si>
  <si>
    <t>28353618.48817587</t>
  </si>
  <si>
    <t>25902216.059005827</t>
  </si>
  <si>
    <t>31330581.98757096</t>
  </si>
  <si>
    <t>4551.14214756289</t>
  </si>
  <si>
    <t>4157.65865194886</t>
  </si>
  <si>
    <t>5028.98535686978</t>
  </si>
  <si>
    <t>6404.8371744426995</t>
  </si>
  <si>
    <t>5872.02004478499</t>
  </si>
  <si>
    <t>7041.08343057689</t>
  </si>
  <si>
    <t>78506161.67556767</t>
  </si>
  <si>
    <t>67302693.53733684</t>
  </si>
  <si>
    <t>93395486.71888086</t>
  </si>
  <si>
    <t>3592.9474953616204</t>
  </si>
  <si>
    <t>3080.20464909981</t>
  </si>
  <si>
    <t>4274.3788885186905</t>
  </si>
  <si>
    <t>254276267.85206705</t>
  </si>
  <si>
    <t>221446458.0848165</t>
  </si>
  <si>
    <t>295493092.65799576</t>
  </si>
  <si>
    <t>3222.2137086202097</t>
  </si>
  <si>
    <t>2806.19115182788</t>
  </si>
  <si>
    <t>3744.51733938109</t>
  </si>
  <si>
    <t>2818.47856482839</t>
  </si>
  <si>
    <t>2433.58664444021</t>
  </si>
  <si>
    <t>3323.93982519006</t>
  </si>
  <si>
    <t>2946.37906903558</t>
  </si>
  <si>
    <t>2572.68758064775</t>
  </si>
  <si>
    <t>3424.31845344936</t>
  </si>
  <si>
    <t>14674190.350486428</t>
  </si>
  <si>
    <t>12805759.758785617</t>
  </si>
  <si>
    <t>16821134.313365594</t>
  </si>
  <si>
    <t>2469.90848974909</t>
  </si>
  <si>
    <t>2155.42077555668</t>
  </si>
  <si>
    <t>2831.27460224163</t>
  </si>
  <si>
    <t>11325669.142135184</t>
  </si>
  <si>
    <t>9869230.711304374</t>
  </si>
  <si>
    <t>12940099.26072651</t>
  </si>
  <si>
    <t>999.4784208004099</t>
  </si>
  <si>
    <t>870.94925713058</t>
  </si>
  <si>
    <t>1141.95018517671</t>
  </si>
  <si>
    <t>2454.21709235402</t>
  </si>
  <si>
    <t>2137.19692192652</t>
  </si>
  <si>
    <t>2801.03162506493</t>
  </si>
  <si>
    <t>3941.42227944456</t>
  </si>
  <si>
    <t>3448.9434485900297</t>
  </si>
  <si>
    <t>4577.0282681342405</t>
  </si>
  <si>
    <t>3162.53471682278</t>
  </si>
  <si>
    <t>2763.30213774826</t>
  </si>
  <si>
    <t>3679.59592557411</t>
  </si>
  <si>
    <t>3226.30280380869</t>
  </si>
  <si>
    <t>2806.66848142272</t>
  </si>
  <si>
    <t>3798.2414390632302</t>
  </si>
  <si>
    <t>3217.57601254512</t>
  </si>
  <si>
    <t>2814.34158315907</t>
  </si>
  <si>
    <t>3742.1797759276697</t>
  </si>
  <si>
    <t>55198197.20137523</t>
  </si>
  <si>
    <t>48035746.01421033</t>
  </si>
  <si>
    <t>63649428.13411871</t>
  </si>
  <si>
    <t>2873.2415337943603</t>
  </si>
  <si>
    <t>2500.41319377342</t>
  </si>
  <si>
    <t>3313.1549541377503</t>
  </si>
  <si>
    <t>1671.60361336193</t>
  </si>
  <si>
    <t>1475.87590729307</t>
  </si>
  <si>
    <t>1910.42592215808</t>
  </si>
  <si>
    <t>85371063.07097694</t>
  </si>
  <si>
    <t>73614482.54015253</t>
  </si>
  <si>
    <t>100118565.05890736</t>
  </si>
  <si>
    <t>3486.60533919762</t>
  </si>
  <si>
    <t>3006.4595500395303</t>
  </si>
  <si>
    <t>4088.90215173931</t>
  </si>
  <si>
    <t>63826218.25435517</t>
  </si>
  <si>
    <t>55672804.808487386</t>
  </si>
  <si>
    <t>74555301.04809803</t>
  </si>
  <si>
    <t>4894.5312201815705</t>
  </si>
  <si>
    <t>4269.28445242206</t>
  </si>
  <si>
    <t>5717.29390508032</t>
  </si>
  <si>
    <t>15420053.334683172</t>
  </si>
  <si>
    <t>13308339.221657012</t>
  </si>
  <si>
    <t>17818345.52152019</t>
  </si>
  <si>
    <t>1380.01553502813</t>
  </si>
  <si>
    <t>1191.0279732951499</t>
  </si>
  <si>
    <t>1594.6503617396202</t>
  </si>
  <si>
    <t>34231046.16832079</t>
  </si>
  <si>
    <t>30152992.708629698</t>
  </si>
  <si>
    <t>39201712.32285108</t>
  </si>
  <si>
    <t>3128.8439301142203</t>
  </si>
  <si>
    <t>2756.09479614693</t>
  </si>
  <si>
    <t>3583.18115807249</t>
  </si>
  <si>
    <t>Incidence</t>
  </si>
  <si>
    <t>1541093.5630616664</t>
  </si>
  <si>
    <t>1264507.386936726</t>
  </si>
  <si>
    <t>1856099.1582724336</t>
  </si>
  <si>
    <t>312.41213036883</t>
  </si>
  <si>
    <t>248.20981664913998</t>
  </si>
  <si>
    <t>203.50443925685</t>
  </si>
  <si>
    <t>297.08758178725003</t>
  </si>
  <si>
    <t>3462255.892548481</t>
  </si>
  <si>
    <t>2956130.9962062463</t>
  </si>
  <si>
    <t>4061538.334059047</t>
  </si>
  <si>
    <t>270.79078125549</t>
  </si>
  <si>
    <t>372.04952689527</t>
  </si>
  <si>
    <t>159.83874577273</t>
  </si>
  <si>
    <t>135.07142905738002</t>
  </si>
  <si>
    <t>188.15697842441</t>
  </si>
  <si>
    <t>4046958.2983170575</t>
  </si>
  <si>
    <t>3504191.994176647</t>
  </si>
  <si>
    <t>4785078.672153536</t>
  </si>
  <si>
    <t>649.59195555872</t>
  </si>
  <si>
    <t>768.0703340677301</t>
  </si>
  <si>
    <t>786.6549383661501</t>
  </si>
  <si>
    <t>1043.48657422901</t>
  </si>
  <si>
    <t>31872778.179137733</t>
  </si>
  <si>
    <t>26284920.94053075</t>
  </si>
  <si>
    <t>38267834.29509022</t>
  </si>
  <si>
    <t>403.89495900725007</t>
  </si>
  <si>
    <t>484.93373489570996</t>
  </si>
  <si>
    <t>372.90101242244</t>
  </si>
  <si>
    <t>307.94976531277</t>
  </si>
  <si>
    <t>444.19289005026</t>
  </si>
  <si>
    <t>8986004.680409962</t>
  </si>
  <si>
    <t>7219932.394627852</t>
  </si>
  <si>
    <t>10956872.319193585</t>
  </si>
  <si>
    <t>411.25743917034</t>
  </si>
  <si>
    <t>330.43059882561</t>
  </si>
  <si>
    <t>501.45703363936997</t>
  </si>
  <si>
    <t>333.84140955312</t>
  </si>
  <si>
    <t>269.36013149857</t>
  </si>
  <si>
    <t>400.29407308354996</t>
  </si>
  <si>
    <t>3770236.015610713</t>
  </si>
  <si>
    <t>3148974.649160908</t>
  </si>
  <si>
    <t>4489397.486960156</t>
  </si>
  <si>
    <t>902.33332710947</t>
  </si>
  <si>
    <t>1074.45076497935</t>
  </si>
  <si>
    <t>582.32520795136</t>
  </si>
  <si>
    <t>488.53545764155</t>
  </si>
  <si>
    <t>684.15581749667</t>
  </si>
  <si>
    <t>1628838.0422307164</t>
  </si>
  <si>
    <t>1321202.982832474</t>
  </si>
  <si>
    <t>2015547.0341522088</t>
  </si>
  <si>
    <t>116.59477725033</t>
  </si>
  <si>
    <t>177.86991138994</t>
  </si>
  <si>
    <t>352.48867658393</t>
  </si>
  <si>
    <t>281.97017303901</t>
  </si>
  <si>
    <t>429.90535599410003</t>
  </si>
  <si>
    <t>3989835.190812238</t>
  </si>
  <si>
    <t>3384023.9562455053</t>
  </si>
  <si>
    <t>4709126.258699048</t>
  </si>
  <si>
    <t>364.68565867209</t>
  </si>
  <si>
    <t>309.31227642871</t>
  </si>
  <si>
    <t>430.43151641411004</t>
  </si>
  <si>
    <t>195.62962066511997</t>
  </si>
  <si>
    <t>164.51980757692</t>
  </si>
  <si>
    <t>231.52801952649</t>
  </si>
  <si>
    <t>2190922.834289808</t>
  </si>
  <si>
    <t>1807960.1315584616</t>
  </si>
  <si>
    <t>2673792.332267364</t>
  </si>
  <si>
    <t>196.07633525931</t>
  </si>
  <si>
    <t>161.80314128034</t>
  </si>
  <si>
    <t>239.29067402566002</t>
  </si>
  <si>
    <t>444.60744735789007</t>
  </si>
  <si>
    <t>362.90177262732</t>
  </si>
  <si>
    <t>8437391.686959112</t>
  </si>
  <si>
    <t>6853498.8491750015</t>
  </si>
  <si>
    <t>10223098.748445082</t>
  </si>
  <si>
    <t>456.92203589246</t>
  </si>
  <si>
    <t>371.14724115413003</t>
  </si>
  <si>
    <t>553.62596245105</t>
  </si>
  <si>
    <t>580.23577255866</t>
  </si>
  <si>
    <t>472.94158736028004</t>
  </si>
  <si>
    <t>704.58665541407</t>
  </si>
  <si>
    <t>7874112.387236134</t>
  </si>
  <si>
    <t>6457244.148800662</t>
  </si>
  <si>
    <t>9448767.954974797</t>
  </si>
  <si>
    <t>603.82848874045</t>
  </si>
  <si>
    <t>495.17555554817</t>
  </si>
  <si>
    <t>724.5813869713201</t>
  </si>
  <si>
    <t>404.43830723220003</t>
  </si>
  <si>
    <t>331.92422647897</t>
  </si>
  <si>
    <t>480.97629265085</t>
  </si>
  <si>
    <t>10499399.856517293</t>
  </si>
  <si>
    <t>8567480.072412707</t>
  </si>
  <si>
    <t>12702596.066632869</t>
  </si>
  <si>
    <t>428.80177757266995</t>
  </si>
  <si>
    <t>349.90101668417003</t>
  </si>
  <si>
    <t>518.7816301499099</t>
  </si>
  <si>
    <t>403.84074459024</t>
  </si>
  <si>
    <t>330.36769119535</t>
  </si>
  <si>
    <t>481.68754441090005</t>
  </si>
  <si>
    <t>7292860.054033911</t>
  </si>
  <si>
    <t>6121118.775773248</t>
  </si>
  <si>
    <t>8702139.939797496</t>
  </si>
  <si>
    <t>379.61653586175</t>
  </si>
  <si>
    <t>318.62367960455003</t>
  </si>
  <si>
    <t>452.97403132024</t>
  </si>
  <si>
    <t>515.60234480822</t>
  </si>
  <si>
    <t>433.63784871959996</t>
  </si>
  <si>
    <t>614.9530775125601</t>
  </si>
  <si>
    <t>number</t>
  </si>
  <si>
    <t>rate</t>
  </si>
  <si>
    <t>AAPC</t>
  </si>
  <si>
    <t>31872778.18（26284920.94,38267834.3)</t>
  </si>
  <si>
    <t>372.9（307.95,444.19)</t>
  </si>
  <si>
    <t>-1.52(-1.60,-1.44)</t>
  </si>
  <si>
    <t>3989835.19（3384023.96,4709126.26)</t>
  </si>
  <si>
    <t>195.63（164.52,231.53)</t>
  </si>
  <si>
    <t>-4.84(-4.97,-4.71)</t>
  </si>
  <si>
    <t>7874112.39（6457244.15,9448767.95)</t>
  </si>
  <si>
    <t>404.44（331.92,480.98)</t>
  </si>
  <si>
    <t>-1.91(-2.04,-1.78)</t>
  </si>
  <si>
    <t>10499399.86（8567480.07,12702596.07)</t>
  </si>
  <si>
    <t>403.84（330.37,481.69)</t>
  </si>
  <si>
    <t>0.73(0.68,0.78)</t>
  </si>
  <si>
    <t>7292860.05（6121118.78,8702139.94)</t>
  </si>
  <si>
    <t>515.6（433.64,614.95)</t>
  </si>
  <si>
    <t>-0.56(-0.70,-0.41)</t>
  </si>
  <si>
    <t>2190922.83（1807960.13,2673792.33)</t>
  </si>
  <si>
    <t>444.61（362.9,537.75)</t>
  </si>
  <si>
    <t>-0.98(-1.13,-0.83)</t>
  </si>
  <si>
    <t>3462255.89（2956131,4061538.33)</t>
  </si>
  <si>
    <t>159.84（135.07,188.16)</t>
  </si>
  <si>
    <t>-5.11(-5.26,-4.96)</t>
  </si>
  <si>
    <t>4046958.3（3504191.99,4785078.67)</t>
  </si>
  <si>
    <t>895.85（786.65,1043.49)</t>
  </si>
  <si>
    <t>-2.87(-3.21,-2.52)</t>
  </si>
  <si>
    <t>1541093.56（1264507.39,1856099.16)</t>
  </si>
  <si>
    <t>248.21（203.5,297.09)</t>
  </si>
  <si>
    <t>-1.15(-1.18,-1.12)</t>
  </si>
  <si>
    <t>8437391.69（6853498.85,10223098.75)</t>
  </si>
  <si>
    <t>580.24（472.94,704.59)</t>
  </si>
  <si>
    <t>-0.41(-0.66,-0.15)</t>
  </si>
  <si>
    <t>1628838.04（1321202.98,2015547.03)</t>
  </si>
  <si>
    <t>352.49（281.97,429.91)</t>
  </si>
  <si>
    <t>-0.39(-0.48,-0.31)</t>
  </si>
  <si>
    <t>3770236.02（3148974.65,4489397.49)</t>
  </si>
  <si>
    <t>582.33（488.54,684.16)</t>
  </si>
  <si>
    <t>-1.79(-1.88,-1.71)</t>
  </si>
  <si>
    <t>8986004.68（7219932.39,10956872.32)</t>
  </si>
  <si>
    <t>333.84（269.36,400.29)</t>
  </si>
  <si>
    <t>1.27(1.22,1.32)</t>
  </si>
  <si>
    <t>14674190.35（12805759.76,16821134.31)</t>
  </si>
  <si>
    <t>2946.38（2572.69,3424.32)</t>
  </si>
  <si>
    <t>1.02(0.76,1.28)</t>
  </si>
  <si>
    <t>34231046.17（30152992.71,39201712.32)</t>
  </si>
  <si>
    <t>1671.6（1475.88,1910.43)</t>
  </si>
  <si>
    <t>-19.70(-19.96,-19.44)</t>
  </si>
  <si>
    <t>15420053.33（13308339.22,17818345.52)</t>
  </si>
  <si>
    <t>3217.58（2814.34,3742.18)</t>
  </si>
  <si>
    <t>0.55(0.23,0.87)</t>
  </si>
  <si>
    <t>63826218.25（55672804.81,74555301.05)</t>
  </si>
  <si>
    <t>3226.3（2806.67,3798.24)</t>
  </si>
  <si>
    <t>11.50(11.18,11.83)</t>
  </si>
  <si>
    <t>55198197.2（48035746.01,63649428.13)</t>
  </si>
  <si>
    <t>3941.42（3448.94,4577.03)</t>
  </si>
  <si>
    <t>6.92(6.68,7.16)</t>
  </si>
  <si>
    <t>85371063.07（73614482.54,100118565.06)</t>
  </si>
  <si>
    <t>3162.53（2763.3,3679.6)</t>
  </si>
  <si>
    <t>1.94(1.68,2.21)</t>
  </si>
  <si>
    <t>29272031.82（25669841.23,33583051.66)</t>
  </si>
  <si>
    <t>1363.02（1198.25,1559.73)</t>
  </si>
  <si>
    <t>-22.37(-22.60,-22.13)</t>
  </si>
  <si>
    <t>78506161.68（67302693.54,93395486.72)</t>
  </si>
  <si>
    <t>6404.84（5872.02,7041.08)</t>
  </si>
  <si>
    <t>-1.22(-1.59,-0.84)</t>
  </si>
  <si>
    <t>28353618.49（25902216.06,31330581.99)</t>
  </si>
  <si>
    <t>2368.15（2070.6,2710.39)</t>
  </si>
  <si>
    <t>-0.94(-1.20,-0.67)</t>
  </si>
  <si>
    <t>64277536.04（54216694.54,76364441.79)</t>
  </si>
  <si>
    <t>4455.73（3796.73,5339.2)</t>
  </si>
  <si>
    <t>8.56(8.23,8.89)</t>
  </si>
  <si>
    <t>11325669.14（9869230.71,12940099.26)</t>
  </si>
  <si>
    <t>2454.22（2137.2,2801.03)</t>
  </si>
  <si>
    <t>3.03(2.67,3.40)</t>
  </si>
  <si>
    <t>27867060.33（24525482.27,31864556.5)</t>
  </si>
  <si>
    <t>4260.77（3766.35,4857.46)</t>
  </si>
  <si>
    <t>0.03(-0.37,0.43)</t>
  </si>
  <si>
    <t>254276267.85（221446458.08,295493092.66)</t>
  </si>
  <si>
    <t>2818.48（2433.59,3323.94)</t>
  </si>
  <si>
    <t>13.29(12.81,13.77)</t>
  </si>
  <si>
    <t>8991636.68（8264123.21,9531130.17)</t>
  </si>
  <si>
    <t>108.73（99.6,115.38)</t>
  </si>
  <si>
    <t>-1.60(-1.67,-1.53)</t>
  </si>
  <si>
    <t>1392371.05（1217171.56,1489069.66)</t>
  </si>
  <si>
    <t>58.45（52.18,61.92)</t>
  </si>
  <si>
    <t>-3.23(-3.27,-3.19)</t>
  </si>
  <si>
    <t>2450426.35（2218836.45,2647300.49)</t>
  </si>
  <si>
    <t>127.5（115.03,137.72)</t>
  </si>
  <si>
    <t>-2.05(-2.31,-1.79)</t>
  </si>
  <si>
    <t>2811121.62（2564657.44,3023433.63)</t>
  </si>
  <si>
    <t>118.71（107.23,127.8)</t>
  </si>
  <si>
    <t>-0.32(-0.38,-0.26)</t>
  </si>
  <si>
    <t>1834652.91（1699506.18,1964078.89)</t>
  </si>
  <si>
    <t>142.1（131.3,151.87)</t>
  </si>
  <si>
    <t>0.08(-0.01,0.16)</t>
  </si>
  <si>
    <t>493475.84（448128.79,543115.16)</t>
  </si>
  <si>
    <t>116.41（105.21,127.69)</t>
  </si>
  <si>
    <t>-0.10(-0.16,-0.03)</t>
  </si>
  <si>
    <t>1308249.99（1123184.54,1403593.42)</t>
  </si>
  <si>
    <t>51.03（44.92,54.18)</t>
  </si>
  <si>
    <t>-3.07(-3.10,-3.03)</t>
  </si>
  <si>
    <t>769135.14（685360.01,858253.16)</t>
  </si>
  <si>
    <t>202.85（180.59,223.68)</t>
  </si>
  <si>
    <t>-2.30(-2.39,-2.21)</t>
  </si>
  <si>
    <t>503764.68（457004.02,544272.5)</t>
  </si>
  <si>
    <t>83.81（75.89,90.56)</t>
  </si>
  <si>
    <t>-1.59(-1.64,-1.54)</t>
  </si>
  <si>
    <t>1990113.47（1824490.29,2155696.11)</t>
  </si>
  <si>
    <t>149.14（136.97,161.16)</t>
  </si>
  <si>
    <t>0.43(0.29,0.58)</t>
  </si>
  <si>
    <t>352221.67（315177.57,393397.51)</t>
  </si>
  <si>
    <t>92.86（83.77,102.8)</t>
  </si>
  <si>
    <t>-0.01(-0.05,0.03)</t>
  </si>
  <si>
    <t>1410299.93（1295251.53,1510117.54)</t>
  </si>
  <si>
    <t>213.62（196.1,228.76)</t>
  </si>
  <si>
    <t>-3.10(-3.37,-2.82)</t>
  </si>
  <si>
    <t>2657851.8（2297472.95,3001397.22)</t>
  </si>
  <si>
    <t>110.45（95.51,124.45)</t>
  </si>
  <si>
    <t>0.41(0.32,0.49)</t>
  </si>
  <si>
    <t>188360557.32（177036930.41,198154476.56)</t>
  </si>
  <si>
    <t>2212.16（2075.54,2327.61)</t>
  </si>
  <si>
    <t>-28.70(-29.96,-27.44)</t>
  </si>
  <si>
    <t>23546711.44（21449543.86,24737628.8)</t>
  </si>
  <si>
    <t>1134.02（1053.56,1186.53)</t>
  </si>
  <si>
    <t>-58.43(-58.99,-57.87)</t>
  </si>
  <si>
    <t>44542561.46（41134046.45,48044417.49)</t>
  </si>
  <si>
    <t>2301.49（2122.97,2482.46)</t>
  </si>
  <si>
    <t>-42.58(-45.73,-39.42)</t>
  </si>
  <si>
    <t>61242796.65（56964813.15,65533800.61)</t>
  </si>
  <si>
    <t>2351.21（2174.84,2514.63)</t>
  </si>
  <si>
    <t>-8.62(-9.53,-7.70)</t>
  </si>
  <si>
    <t>46062373.82（42687627.64,49488217.32)</t>
  </si>
  <si>
    <t>3138.58（2912.65,3360.62)</t>
  </si>
  <si>
    <t>-1.66(-2.67,-0.64)</t>
  </si>
  <si>
    <t>12778296.89（11572088.23,14121058.95)</t>
  </si>
  <si>
    <t>2464.12（2235.87,2725.2)</t>
  </si>
  <si>
    <t>-6.57(-7.65,-5.49)</t>
  </si>
  <si>
    <t>21379450.18（19373473.23,22509354.27)</t>
  </si>
  <si>
    <t>971.74（899.99,1012.71)</t>
  </si>
  <si>
    <t>-54.66(-55.35,-53.97)</t>
  </si>
  <si>
    <t>18148597.82（16140157.22,20526102.82)</t>
  </si>
  <si>
    <t>4023.22（3581.71,4507.47)</t>
  </si>
  <si>
    <t>-55.57(-57.40,-53.73)</t>
  </si>
  <si>
    <t>10805609.1（10005622.28,11609601.33)</t>
  </si>
  <si>
    <t>1741.79（1610.25,1871.26)</t>
  </si>
  <si>
    <t>-32.28(-33.33,-31.22)</t>
  </si>
  <si>
    <t>50666052.86（46308000.43,54713621.32)</t>
  </si>
  <si>
    <t>3351.09（3075.41,3616.42)</t>
  </si>
  <si>
    <t>3.29(1.70,4.89)</t>
  </si>
  <si>
    <t>8774473.89（7793097.03,9896944.54)</t>
  </si>
  <si>
    <t>1859.36（1664.64,2081.5)</t>
  </si>
  <si>
    <t>-2.35(-3.08,-1.62)</t>
  </si>
  <si>
    <t>25548159.77（23641315.66,27231042.17)</t>
  </si>
  <si>
    <t>3945.82（3656.56,4205.05)</t>
  </si>
  <si>
    <t>-55.87(-67.26,-44.48)</t>
  </si>
  <si>
    <t>53038213.7（46680862.69,59709522.09)</t>
  </si>
  <si>
    <t>2006.73（1757.95,2254.5)</t>
  </si>
  <si>
    <t>1.61(0.38,2.83)</t>
  </si>
  <si>
    <t>measure</t>
  </si>
  <si>
    <t>location</t>
  </si>
  <si>
    <t>sex</t>
  </si>
  <si>
    <t>age</t>
  </si>
  <si>
    <t>cause</t>
  </si>
  <si>
    <t>metric</t>
  </si>
  <si>
    <t>Male</t>
  </si>
  <si>
    <t>Female</t>
  </si>
  <si>
    <t>DALYs</t>
  </si>
  <si>
    <t>17961630.26(14860851.59,21521548.25)</t>
  </si>
  <si>
    <t>450.39(373.66,534.62)</t>
  </si>
  <si>
    <t>-2.36(-2.44,-2.28)</t>
  </si>
  <si>
    <t>145307703.32（125889573.36,167448323.81)</t>
  </si>
  <si>
    <t>3610.24(3153.05,4164.95)</t>
  </si>
  <si>
    <t>-2.54(-2.69,-2.39)</t>
  </si>
  <si>
    <t>5002681.1（4679269.08,5336245.44)</t>
  </si>
  <si>
    <t>136.84（127.37,145.9)</t>
  </si>
  <si>
    <t>-1.64(-1.75,-1.53)</t>
  </si>
  <si>
    <t>114982353.81（107837252.65,123113032.68)</t>
  </si>
  <si>
    <t>2890.65（2714.81,3091.32)</t>
  </si>
  <si>
    <t xml:space="preserve"> -30.92(-32.90,-28.93)</t>
  </si>
  <si>
    <t>13911147.92(11446945.73,16678573.72)</t>
  </si>
  <si>
    <t>301.57(248.57,360.73)</t>
  </si>
  <si>
    <t>-0.96(-1.01,-0.91)</t>
  </si>
  <si>
    <t>108968564.53（95254725.7,127385889.97)</t>
  </si>
  <si>
    <t>2357.61（2063.31,2751.95)</t>
  </si>
  <si>
    <t>3.49(3.19,3.80)</t>
  </si>
  <si>
    <t>3988955.58（3540381.49,4317969.43)</t>
  </si>
  <si>
    <t>85.32（75.9,92.31)</t>
  </si>
  <si>
    <t>-1.56(-1.64,-1.48)</t>
  </si>
  <si>
    <t>73378203.51（67274276.54,78561320.25)</t>
  </si>
  <si>
    <t>1596.14（1463.98,1706.95)</t>
  </si>
  <si>
    <t>-25.72(-27.08,-24.37)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</si>
</sst>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157"/>
  <sheetViews>
    <sheetView zoomScaleSheetLayoutView="60" topLeftCell="H1" workbookViewId="0">
      <selection activeCell="R44" sqref="R44"/>
    </sheetView>
  </sheetViews>
  <sheetFormatPr defaultColWidth="9.81818181818182" defaultRowHeight="14"/>
  <cols>
    <col min="8" max="10" width="12.8181818181818"/>
    <col min="12" max="13" width="12.8181818181818"/>
    <col min="14" max="14" width="22.5454545454545" customWidth="1"/>
    <col min="15" max="16" width="12.8181818181818"/>
    <col min="18" max="18" width="41.090909090909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R1" t="s">
        <v>10</v>
      </c>
    </row>
    <row r="2" hidden="1" spans="1:18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2021</v>
      </c>
      <c r="H2" s="2" t="s">
        <v>17</v>
      </c>
      <c r="I2" s="2" t="s">
        <v>18</v>
      </c>
      <c r="J2" s="2" t="s">
        <v>19</v>
      </c>
      <c r="L2">
        <f t="shared" ref="L2:L28" si="0">ROUND(H2,2)</f>
        <v>769135.14</v>
      </c>
      <c r="M2" t="s">
        <v>20</v>
      </c>
      <c r="N2">
        <f t="shared" ref="N2:N28" si="1">ROUND(I2,2)</f>
        <v>685360.01</v>
      </c>
      <c r="O2" t="s">
        <v>21</v>
      </c>
      <c r="P2">
        <f t="shared" ref="P2:P28" si="2">ROUND(J2,2)</f>
        <v>858253.16</v>
      </c>
      <c r="Q2" t="s">
        <v>22</v>
      </c>
      <c r="R2" t="str">
        <f t="shared" ref="R2:R28" si="3">L2&amp;M2&amp;N2&amp;O2&amp;P2&amp;Q2</f>
        <v>769135.14（685360.01,858253.16)</v>
      </c>
    </row>
    <row r="3" hidden="1" spans="1:18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23</v>
      </c>
      <c r="G3">
        <v>2021</v>
      </c>
      <c r="H3" s="2" t="s">
        <v>24</v>
      </c>
      <c r="I3" s="2" t="s">
        <v>25</v>
      </c>
      <c r="J3" s="2" t="s">
        <v>26</v>
      </c>
      <c r="L3">
        <f t="shared" si="0"/>
        <v>123.46</v>
      </c>
      <c r="M3" t="s">
        <v>20</v>
      </c>
      <c r="N3">
        <f t="shared" si="1"/>
        <v>110.01</v>
      </c>
      <c r="O3" t="s">
        <v>21</v>
      </c>
      <c r="P3">
        <f t="shared" si="2"/>
        <v>137.76</v>
      </c>
      <c r="Q3" t="s">
        <v>22</v>
      </c>
      <c r="R3" t="str">
        <f t="shared" si="3"/>
        <v>123.46（110.01,137.76)</v>
      </c>
    </row>
    <row r="4" hidden="1" spans="1:18">
      <c r="A4" t="s">
        <v>11</v>
      </c>
      <c r="B4" t="s">
        <v>12</v>
      </c>
      <c r="C4" t="s">
        <v>13</v>
      </c>
      <c r="D4" t="s">
        <v>27</v>
      </c>
      <c r="E4" t="s">
        <v>15</v>
      </c>
      <c r="F4" t="s">
        <v>23</v>
      </c>
      <c r="G4">
        <v>2021</v>
      </c>
      <c r="H4" s="2" t="s">
        <v>28</v>
      </c>
      <c r="I4" s="2" t="s">
        <v>29</v>
      </c>
      <c r="J4" s="2" t="s">
        <v>30</v>
      </c>
      <c r="L4">
        <f t="shared" si="0"/>
        <v>202.85</v>
      </c>
      <c r="M4" t="s">
        <v>20</v>
      </c>
      <c r="N4">
        <f t="shared" si="1"/>
        <v>180.59</v>
      </c>
      <c r="O4" t="s">
        <v>21</v>
      </c>
      <c r="P4">
        <f t="shared" si="2"/>
        <v>223.68</v>
      </c>
      <c r="Q4" t="s">
        <v>22</v>
      </c>
      <c r="R4" t="str">
        <f t="shared" si="3"/>
        <v>202.85（180.59,223.68)</v>
      </c>
    </row>
    <row r="5" hidden="1" spans="1:18">
      <c r="A5" t="s">
        <v>11</v>
      </c>
      <c r="B5" t="s">
        <v>31</v>
      </c>
      <c r="C5" t="s">
        <v>13</v>
      </c>
      <c r="D5" t="s">
        <v>14</v>
      </c>
      <c r="E5" t="s">
        <v>15</v>
      </c>
      <c r="F5" t="s">
        <v>16</v>
      </c>
      <c r="G5">
        <v>2021</v>
      </c>
      <c r="H5" s="2" t="s">
        <v>32</v>
      </c>
      <c r="I5" s="2" t="s">
        <v>33</v>
      </c>
      <c r="J5" s="2" t="s">
        <v>34</v>
      </c>
      <c r="L5">
        <f t="shared" si="0"/>
        <v>1392371.05</v>
      </c>
      <c r="M5" t="s">
        <v>20</v>
      </c>
      <c r="N5">
        <f t="shared" si="1"/>
        <v>1217171.56</v>
      </c>
      <c r="O5" t="s">
        <v>21</v>
      </c>
      <c r="P5">
        <f t="shared" si="2"/>
        <v>1489069.66</v>
      </c>
      <c r="Q5" t="s">
        <v>22</v>
      </c>
      <c r="R5" t="str">
        <f t="shared" si="3"/>
        <v>1392371.05（1217171.56,1489069.66)</v>
      </c>
    </row>
    <row r="6" hidden="1" spans="1:18">
      <c r="A6" t="s">
        <v>11</v>
      </c>
      <c r="B6" t="s">
        <v>31</v>
      </c>
      <c r="C6" t="s">
        <v>13</v>
      </c>
      <c r="D6" t="s">
        <v>14</v>
      </c>
      <c r="E6" t="s">
        <v>15</v>
      </c>
      <c r="F6" t="s">
        <v>23</v>
      </c>
      <c r="G6">
        <v>2021</v>
      </c>
      <c r="H6" s="2" t="s">
        <v>35</v>
      </c>
      <c r="I6" s="2" t="s">
        <v>36</v>
      </c>
      <c r="J6" s="2" t="s">
        <v>37</v>
      </c>
      <c r="L6">
        <f t="shared" si="0"/>
        <v>127.27</v>
      </c>
      <c r="M6" t="s">
        <v>20</v>
      </c>
      <c r="N6">
        <f t="shared" si="1"/>
        <v>111.25</v>
      </c>
      <c r="O6" t="s">
        <v>21</v>
      </c>
      <c r="P6">
        <f t="shared" si="2"/>
        <v>136.11</v>
      </c>
      <c r="Q6" t="s">
        <v>22</v>
      </c>
      <c r="R6" t="str">
        <f t="shared" si="3"/>
        <v>127.27（111.25,136.11)</v>
      </c>
    </row>
    <row r="7" hidden="1" spans="1:18">
      <c r="A7" t="s">
        <v>11</v>
      </c>
      <c r="B7" t="s">
        <v>31</v>
      </c>
      <c r="C7" t="s">
        <v>13</v>
      </c>
      <c r="D7" t="s">
        <v>27</v>
      </c>
      <c r="E7" t="s">
        <v>15</v>
      </c>
      <c r="F7" t="s">
        <v>23</v>
      </c>
      <c r="G7">
        <v>2021</v>
      </c>
      <c r="H7" s="2" t="s">
        <v>38</v>
      </c>
      <c r="I7" s="2" t="s">
        <v>39</v>
      </c>
      <c r="J7" s="2" t="s">
        <v>40</v>
      </c>
      <c r="L7">
        <f t="shared" si="0"/>
        <v>58.45</v>
      </c>
      <c r="M7" t="s">
        <v>20</v>
      </c>
      <c r="N7">
        <f t="shared" si="1"/>
        <v>52.18</v>
      </c>
      <c r="O7" t="s">
        <v>21</v>
      </c>
      <c r="P7">
        <f t="shared" si="2"/>
        <v>61.92</v>
      </c>
      <c r="Q7" t="s">
        <v>22</v>
      </c>
      <c r="R7" t="str">
        <f t="shared" si="3"/>
        <v>58.45（52.18,61.92)</v>
      </c>
    </row>
    <row r="8" hidden="1" spans="1:18">
      <c r="A8" t="s">
        <v>11</v>
      </c>
      <c r="B8" t="s">
        <v>41</v>
      </c>
      <c r="C8" t="s">
        <v>13</v>
      </c>
      <c r="D8" t="s">
        <v>14</v>
      </c>
      <c r="E8" t="s">
        <v>15</v>
      </c>
      <c r="F8" t="s">
        <v>16</v>
      </c>
      <c r="G8">
        <v>2021</v>
      </c>
      <c r="H8" s="2" t="s">
        <v>42</v>
      </c>
      <c r="I8" s="2" t="s">
        <v>43</v>
      </c>
      <c r="J8" s="2" t="s">
        <v>44</v>
      </c>
      <c r="L8">
        <f t="shared" si="0"/>
        <v>1990113.47</v>
      </c>
      <c r="M8" t="s">
        <v>20</v>
      </c>
      <c r="N8">
        <f t="shared" si="1"/>
        <v>1824490.29</v>
      </c>
      <c r="O8" t="s">
        <v>21</v>
      </c>
      <c r="P8">
        <f t="shared" si="2"/>
        <v>2155696.11</v>
      </c>
      <c r="Q8" t="s">
        <v>22</v>
      </c>
      <c r="R8" t="str">
        <f t="shared" si="3"/>
        <v>1990113.47（1824490.29,2155696.11)</v>
      </c>
    </row>
    <row r="9" hidden="1" spans="1:18">
      <c r="A9" t="s">
        <v>11</v>
      </c>
      <c r="B9" t="s">
        <v>41</v>
      </c>
      <c r="C9" t="s">
        <v>13</v>
      </c>
      <c r="D9" t="s">
        <v>14</v>
      </c>
      <c r="E9" t="s">
        <v>15</v>
      </c>
      <c r="F9" t="s">
        <v>23</v>
      </c>
      <c r="G9">
        <v>2021</v>
      </c>
      <c r="H9" s="2" t="s">
        <v>45</v>
      </c>
      <c r="I9" s="2" t="s">
        <v>46</v>
      </c>
      <c r="J9" s="2" t="s">
        <v>47</v>
      </c>
      <c r="L9">
        <f t="shared" si="0"/>
        <v>107.77</v>
      </c>
      <c r="M9" t="s">
        <v>20</v>
      </c>
      <c r="N9">
        <f t="shared" si="1"/>
        <v>98.8</v>
      </c>
      <c r="O9" t="s">
        <v>21</v>
      </c>
      <c r="P9">
        <f t="shared" si="2"/>
        <v>116.74</v>
      </c>
      <c r="Q9" t="s">
        <v>22</v>
      </c>
      <c r="R9" t="str">
        <f t="shared" si="3"/>
        <v>107.77（98.8,116.74)</v>
      </c>
    </row>
    <row r="10" hidden="1" spans="1:18">
      <c r="A10" t="s">
        <v>11</v>
      </c>
      <c r="B10" t="s">
        <v>41</v>
      </c>
      <c r="C10" t="s">
        <v>13</v>
      </c>
      <c r="D10" t="s">
        <v>27</v>
      </c>
      <c r="E10" t="s">
        <v>15</v>
      </c>
      <c r="F10" t="s">
        <v>23</v>
      </c>
      <c r="G10">
        <v>2021</v>
      </c>
      <c r="H10" s="2" t="s">
        <v>48</v>
      </c>
      <c r="I10" s="2" t="s">
        <v>49</v>
      </c>
      <c r="J10" s="2" t="s">
        <v>50</v>
      </c>
      <c r="L10">
        <f t="shared" si="0"/>
        <v>149.14</v>
      </c>
      <c r="M10" t="s">
        <v>20</v>
      </c>
      <c r="N10">
        <f t="shared" si="1"/>
        <v>136.97</v>
      </c>
      <c r="O10" t="s">
        <v>21</v>
      </c>
      <c r="P10">
        <f t="shared" si="2"/>
        <v>161.16</v>
      </c>
      <c r="Q10" t="s">
        <v>22</v>
      </c>
      <c r="R10" t="str">
        <f t="shared" si="3"/>
        <v>149.14（136.97,161.16)</v>
      </c>
    </row>
    <row r="11" hidden="1" spans="1:18">
      <c r="A11" t="s">
        <v>11</v>
      </c>
      <c r="B11" t="s">
        <v>51</v>
      </c>
      <c r="C11" t="s">
        <v>13</v>
      </c>
      <c r="D11" t="s">
        <v>14</v>
      </c>
      <c r="E11" t="s">
        <v>15</v>
      </c>
      <c r="F11" t="s">
        <v>16</v>
      </c>
      <c r="G11">
        <v>2021</v>
      </c>
      <c r="H11" s="2" t="s">
        <v>52</v>
      </c>
      <c r="I11" s="2" t="s">
        <v>53</v>
      </c>
      <c r="J11" s="2" t="s">
        <v>54</v>
      </c>
      <c r="L11">
        <f t="shared" si="0"/>
        <v>1834652.91</v>
      </c>
      <c r="M11" t="s">
        <v>20</v>
      </c>
      <c r="N11">
        <f t="shared" si="1"/>
        <v>1699506.18</v>
      </c>
      <c r="O11" t="s">
        <v>21</v>
      </c>
      <c r="P11">
        <f t="shared" si="2"/>
        <v>1964078.89</v>
      </c>
      <c r="Q11" t="s">
        <v>22</v>
      </c>
      <c r="R11" t="str">
        <f t="shared" si="3"/>
        <v>1834652.91（1699506.18,1964078.89)</v>
      </c>
    </row>
    <row r="12" hidden="1" spans="1:18">
      <c r="A12" t="s">
        <v>11</v>
      </c>
      <c r="B12" t="s">
        <v>51</v>
      </c>
      <c r="C12" t="s">
        <v>13</v>
      </c>
      <c r="D12" t="s">
        <v>14</v>
      </c>
      <c r="E12" t="s">
        <v>15</v>
      </c>
      <c r="F12" t="s">
        <v>23</v>
      </c>
      <c r="G12">
        <v>2021</v>
      </c>
      <c r="H12" s="2" t="s">
        <v>55</v>
      </c>
      <c r="I12" s="2" t="s">
        <v>56</v>
      </c>
      <c r="J12" s="2" t="s">
        <v>57</v>
      </c>
      <c r="L12">
        <f t="shared" si="0"/>
        <v>95.5</v>
      </c>
      <c r="M12" t="s">
        <v>20</v>
      </c>
      <c r="N12">
        <f t="shared" si="1"/>
        <v>88.46</v>
      </c>
      <c r="O12" t="s">
        <v>21</v>
      </c>
      <c r="P12">
        <f t="shared" si="2"/>
        <v>102.24</v>
      </c>
      <c r="Q12" t="s">
        <v>22</v>
      </c>
      <c r="R12" t="str">
        <f t="shared" si="3"/>
        <v>95.5（88.46,102.24)</v>
      </c>
    </row>
    <row r="13" hidden="1" spans="1:18">
      <c r="A13" t="s">
        <v>11</v>
      </c>
      <c r="B13" t="s">
        <v>51</v>
      </c>
      <c r="C13" t="s">
        <v>13</v>
      </c>
      <c r="D13" t="s">
        <v>27</v>
      </c>
      <c r="E13" t="s">
        <v>15</v>
      </c>
      <c r="F13" t="s">
        <v>23</v>
      </c>
      <c r="G13">
        <v>2021</v>
      </c>
      <c r="H13" s="2" t="s">
        <v>58</v>
      </c>
      <c r="I13" s="2" t="s">
        <v>59</v>
      </c>
      <c r="J13" s="2" t="s">
        <v>60</v>
      </c>
      <c r="L13">
        <f t="shared" si="0"/>
        <v>142.1</v>
      </c>
      <c r="M13" t="s">
        <v>20</v>
      </c>
      <c r="N13">
        <f t="shared" si="1"/>
        <v>131.3</v>
      </c>
      <c r="O13" t="s">
        <v>21</v>
      </c>
      <c r="P13">
        <f t="shared" si="2"/>
        <v>151.87</v>
      </c>
      <c r="Q13" t="s">
        <v>22</v>
      </c>
      <c r="R13" t="str">
        <f t="shared" si="3"/>
        <v>142.1（131.3,151.87)</v>
      </c>
    </row>
    <row r="14" hidden="1" spans="1:18">
      <c r="A14" t="s">
        <v>11</v>
      </c>
      <c r="B14" t="s">
        <v>61</v>
      </c>
      <c r="C14" t="s">
        <v>13</v>
      </c>
      <c r="D14" t="s">
        <v>14</v>
      </c>
      <c r="E14" t="s">
        <v>15</v>
      </c>
      <c r="F14" t="s">
        <v>16</v>
      </c>
      <c r="G14">
        <v>2021</v>
      </c>
      <c r="H14" s="2" t="s">
        <v>62</v>
      </c>
      <c r="I14" s="2" t="s">
        <v>63</v>
      </c>
      <c r="J14" s="2" t="s">
        <v>64</v>
      </c>
      <c r="L14">
        <f t="shared" si="0"/>
        <v>493475.84</v>
      </c>
      <c r="M14" t="s">
        <v>20</v>
      </c>
      <c r="N14">
        <f t="shared" si="1"/>
        <v>448128.79</v>
      </c>
      <c r="O14" t="s">
        <v>21</v>
      </c>
      <c r="P14">
        <f t="shared" si="2"/>
        <v>543115.16</v>
      </c>
      <c r="Q14" t="s">
        <v>22</v>
      </c>
      <c r="R14" t="str">
        <f t="shared" si="3"/>
        <v>493475.84（448128.79,543115.16)</v>
      </c>
    </row>
    <row r="15" hidden="1" spans="1:18">
      <c r="A15" t="s">
        <v>11</v>
      </c>
      <c r="B15" t="s">
        <v>61</v>
      </c>
      <c r="C15" t="s">
        <v>13</v>
      </c>
      <c r="D15" t="s">
        <v>14</v>
      </c>
      <c r="E15" t="s">
        <v>15</v>
      </c>
      <c r="F15" t="s">
        <v>23</v>
      </c>
      <c r="G15">
        <v>2021</v>
      </c>
      <c r="H15" s="2" t="s">
        <v>65</v>
      </c>
      <c r="I15" s="2" t="s">
        <v>66</v>
      </c>
      <c r="J15" s="2" t="s">
        <v>67</v>
      </c>
      <c r="L15">
        <f t="shared" si="0"/>
        <v>44.16</v>
      </c>
      <c r="M15" t="s">
        <v>20</v>
      </c>
      <c r="N15">
        <f t="shared" si="1"/>
        <v>40.11</v>
      </c>
      <c r="O15" t="s">
        <v>21</v>
      </c>
      <c r="P15">
        <f t="shared" si="2"/>
        <v>48.61</v>
      </c>
      <c r="Q15" t="s">
        <v>22</v>
      </c>
      <c r="R15" t="str">
        <f t="shared" si="3"/>
        <v>44.16（40.11,48.61)</v>
      </c>
    </row>
    <row r="16" hidden="1" spans="1:18">
      <c r="A16" t="s">
        <v>11</v>
      </c>
      <c r="B16" t="s">
        <v>61</v>
      </c>
      <c r="C16" t="s">
        <v>13</v>
      </c>
      <c r="D16" t="s">
        <v>27</v>
      </c>
      <c r="E16" t="s">
        <v>15</v>
      </c>
      <c r="F16" t="s">
        <v>23</v>
      </c>
      <c r="G16">
        <v>2021</v>
      </c>
      <c r="H16" s="2" t="s">
        <v>68</v>
      </c>
      <c r="I16" s="2" t="s">
        <v>69</v>
      </c>
      <c r="J16" s="2" t="s">
        <v>70</v>
      </c>
      <c r="L16">
        <f t="shared" si="0"/>
        <v>116.41</v>
      </c>
      <c r="M16" t="s">
        <v>20</v>
      </c>
      <c r="N16">
        <f t="shared" si="1"/>
        <v>105.21</v>
      </c>
      <c r="O16" t="s">
        <v>21</v>
      </c>
      <c r="P16">
        <f t="shared" si="2"/>
        <v>127.69</v>
      </c>
      <c r="Q16" t="s">
        <v>22</v>
      </c>
      <c r="R16" t="str">
        <f t="shared" si="3"/>
        <v>116.41（105.21,127.69)</v>
      </c>
    </row>
    <row r="17" hidden="1" spans="1:18">
      <c r="A17" t="s">
        <v>11</v>
      </c>
      <c r="B17" t="s">
        <v>71</v>
      </c>
      <c r="C17" t="s">
        <v>13</v>
      </c>
      <c r="D17" t="s">
        <v>14</v>
      </c>
      <c r="E17" t="s">
        <v>15</v>
      </c>
      <c r="F17" t="s">
        <v>16</v>
      </c>
      <c r="G17">
        <v>2021</v>
      </c>
      <c r="H17" s="2" t="s">
        <v>72</v>
      </c>
      <c r="I17" s="2" t="s">
        <v>73</v>
      </c>
      <c r="J17" s="2" t="s">
        <v>74</v>
      </c>
      <c r="L17">
        <f t="shared" si="0"/>
        <v>2811121.62</v>
      </c>
      <c r="M17" t="s">
        <v>20</v>
      </c>
      <c r="N17">
        <f t="shared" si="1"/>
        <v>2564657.44</v>
      </c>
      <c r="O17" t="s">
        <v>21</v>
      </c>
      <c r="P17">
        <f t="shared" si="2"/>
        <v>3023433.63</v>
      </c>
      <c r="Q17" t="s">
        <v>22</v>
      </c>
      <c r="R17" t="str">
        <f t="shared" si="3"/>
        <v>2811121.62（2564657.44,3023433.63)</v>
      </c>
    </row>
    <row r="18" hidden="1" spans="1:18">
      <c r="A18" t="s">
        <v>11</v>
      </c>
      <c r="B18" t="s">
        <v>71</v>
      </c>
      <c r="C18" t="s">
        <v>13</v>
      </c>
      <c r="D18" t="s">
        <v>14</v>
      </c>
      <c r="E18" t="s">
        <v>15</v>
      </c>
      <c r="F18" t="s">
        <v>23</v>
      </c>
      <c r="G18">
        <v>2021</v>
      </c>
      <c r="H18" s="2" t="s">
        <v>75</v>
      </c>
      <c r="I18" s="2" t="s">
        <v>76</v>
      </c>
      <c r="J18" s="2" t="s">
        <v>77</v>
      </c>
      <c r="L18">
        <f t="shared" si="0"/>
        <v>114.81</v>
      </c>
      <c r="M18" t="s">
        <v>20</v>
      </c>
      <c r="N18">
        <f t="shared" si="1"/>
        <v>104.74</v>
      </c>
      <c r="O18" t="s">
        <v>21</v>
      </c>
      <c r="P18">
        <f t="shared" si="2"/>
        <v>123.48</v>
      </c>
      <c r="Q18" t="s">
        <v>22</v>
      </c>
      <c r="R18" t="str">
        <f t="shared" si="3"/>
        <v>114.81（104.74,123.48)</v>
      </c>
    </row>
    <row r="19" hidden="1" spans="1:18">
      <c r="A19" t="s">
        <v>11</v>
      </c>
      <c r="B19" t="s">
        <v>71</v>
      </c>
      <c r="C19" t="s">
        <v>13</v>
      </c>
      <c r="D19" t="s">
        <v>27</v>
      </c>
      <c r="E19" t="s">
        <v>15</v>
      </c>
      <c r="F19" t="s">
        <v>23</v>
      </c>
      <c r="G19">
        <v>2021</v>
      </c>
      <c r="H19" s="2" t="s">
        <v>78</v>
      </c>
      <c r="I19" s="2" t="s">
        <v>79</v>
      </c>
      <c r="J19" s="2" t="s">
        <v>80</v>
      </c>
      <c r="L19">
        <f t="shared" si="0"/>
        <v>118.71</v>
      </c>
      <c r="M19" t="s">
        <v>20</v>
      </c>
      <c r="N19">
        <f t="shared" si="1"/>
        <v>107.23</v>
      </c>
      <c r="O19" t="s">
        <v>21</v>
      </c>
      <c r="P19">
        <f t="shared" si="2"/>
        <v>127.8</v>
      </c>
      <c r="Q19" t="s">
        <v>22</v>
      </c>
      <c r="R19" t="str">
        <f t="shared" si="3"/>
        <v>118.71（107.23,127.8)</v>
      </c>
    </row>
    <row r="20" hidden="1" spans="1:18">
      <c r="A20" t="s">
        <v>11</v>
      </c>
      <c r="B20" t="s">
        <v>81</v>
      </c>
      <c r="C20" t="s">
        <v>13</v>
      </c>
      <c r="D20" t="s">
        <v>14</v>
      </c>
      <c r="E20" t="s">
        <v>15</v>
      </c>
      <c r="F20" t="s">
        <v>16</v>
      </c>
      <c r="G20">
        <v>2021</v>
      </c>
      <c r="H20" s="2" t="s">
        <v>82</v>
      </c>
      <c r="I20" s="2" t="s">
        <v>83</v>
      </c>
      <c r="J20" s="2" t="s">
        <v>84</v>
      </c>
      <c r="L20">
        <f t="shared" si="0"/>
        <v>1308249.99</v>
      </c>
      <c r="M20" t="s">
        <v>20</v>
      </c>
      <c r="N20">
        <f t="shared" si="1"/>
        <v>1123184.54</v>
      </c>
      <c r="O20" t="s">
        <v>21</v>
      </c>
      <c r="P20">
        <f t="shared" si="2"/>
        <v>1403593.42</v>
      </c>
      <c r="Q20" t="s">
        <v>22</v>
      </c>
      <c r="R20" t="str">
        <f t="shared" si="3"/>
        <v>1308249.99（1123184.54,1403593.42)</v>
      </c>
    </row>
    <row r="21" hidden="1" spans="1:18">
      <c r="A21" t="s">
        <v>11</v>
      </c>
      <c r="B21" t="s">
        <v>81</v>
      </c>
      <c r="C21" t="s">
        <v>13</v>
      </c>
      <c r="D21" t="s">
        <v>14</v>
      </c>
      <c r="E21" t="s">
        <v>15</v>
      </c>
      <c r="F21" t="s">
        <v>23</v>
      </c>
      <c r="G21">
        <v>2021</v>
      </c>
      <c r="H21" s="2" t="s">
        <v>85</v>
      </c>
      <c r="I21" s="2" t="s">
        <v>86</v>
      </c>
      <c r="J21" s="2" t="s">
        <v>87</v>
      </c>
      <c r="L21">
        <f t="shared" si="0"/>
        <v>119.84</v>
      </c>
      <c r="M21" t="s">
        <v>20</v>
      </c>
      <c r="N21">
        <f t="shared" si="1"/>
        <v>102.89</v>
      </c>
      <c r="O21" t="s">
        <v>21</v>
      </c>
      <c r="P21">
        <f t="shared" si="2"/>
        <v>128.57</v>
      </c>
      <c r="Q21" t="s">
        <v>22</v>
      </c>
      <c r="R21" t="str">
        <f t="shared" si="3"/>
        <v>119.84（102.89,128.57)</v>
      </c>
    </row>
    <row r="22" hidden="1" spans="1:18">
      <c r="A22" t="s">
        <v>11</v>
      </c>
      <c r="B22" t="s">
        <v>81</v>
      </c>
      <c r="C22" t="s">
        <v>13</v>
      </c>
      <c r="D22" t="s">
        <v>27</v>
      </c>
      <c r="E22" t="s">
        <v>15</v>
      </c>
      <c r="F22" t="s">
        <v>23</v>
      </c>
      <c r="G22">
        <v>2021</v>
      </c>
      <c r="H22" s="2" t="s">
        <v>88</v>
      </c>
      <c r="I22" s="2" t="s">
        <v>89</v>
      </c>
      <c r="J22" s="2" t="s">
        <v>90</v>
      </c>
      <c r="L22">
        <f t="shared" si="0"/>
        <v>51.03</v>
      </c>
      <c r="M22" t="s">
        <v>20</v>
      </c>
      <c r="N22">
        <f t="shared" si="1"/>
        <v>44.92</v>
      </c>
      <c r="O22" t="s">
        <v>21</v>
      </c>
      <c r="P22">
        <f t="shared" si="2"/>
        <v>54.18</v>
      </c>
      <c r="Q22" t="s">
        <v>22</v>
      </c>
      <c r="R22" t="str">
        <f t="shared" si="3"/>
        <v>51.03（44.92,54.18)</v>
      </c>
    </row>
    <row r="23" hidden="1" spans="1:18">
      <c r="A23" t="s">
        <v>11</v>
      </c>
      <c r="B23" t="s">
        <v>91</v>
      </c>
      <c r="C23" t="s">
        <v>13</v>
      </c>
      <c r="D23" t="s">
        <v>14</v>
      </c>
      <c r="E23" t="s">
        <v>15</v>
      </c>
      <c r="F23" t="s">
        <v>16</v>
      </c>
      <c r="G23">
        <v>2021</v>
      </c>
      <c r="H23" s="2" t="s">
        <v>92</v>
      </c>
      <c r="I23" s="2" t="s">
        <v>93</v>
      </c>
      <c r="J23" s="2" t="s">
        <v>94</v>
      </c>
      <c r="L23">
        <f t="shared" si="0"/>
        <v>1410299.93</v>
      </c>
      <c r="M23" t="s">
        <v>20</v>
      </c>
      <c r="N23">
        <f t="shared" si="1"/>
        <v>1295251.53</v>
      </c>
      <c r="O23" t="s">
        <v>21</v>
      </c>
      <c r="P23">
        <f t="shared" si="2"/>
        <v>1510117.54</v>
      </c>
      <c r="Q23" t="s">
        <v>22</v>
      </c>
      <c r="R23" t="str">
        <f t="shared" si="3"/>
        <v>1410299.93（1295251.53,1510117.54)</v>
      </c>
    </row>
    <row r="24" hidden="1" spans="1:18">
      <c r="A24" t="s">
        <v>11</v>
      </c>
      <c r="B24" t="s">
        <v>91</v>
      </c>
      <c r="C24" t="s">
        <v>13</v>
      </c>
      <c r="D24" t="s">
        <v>14</v>
      </c>
      <c r="E24" t="s">
        <v>15</v>
      </c>
      <c r="F24" t="s">
        <v>23</v>
      </c>
      <c r="G24">
        <v>2021</v>
      </c>
      <c r="H24" s="2" t="s">
        <v>95</v>
      </c>
      <c r="I24" s="2" t="s">
        <v>96</v>
      </c>
      <c r="J24" s="2" t="s">
        <v>97</v>
      </c>
      <c r="L24">
        <f t="shared" si="0"/>
        <v>337.53</v>
      </c>
      <c r="M24" t="s">
        <v>20</v>
      </c>
      <c r="N24">
        <f t="shared" si="1"/>
        <v>309.99</v>
      </c>
      <c r="O24" t="s">
        <v>21</v>
      </c>
      <c r="P24">
        <f t="shared" si="2"/>
        <v>361.42</v>
      </c>
      <c r="Q24" t="s">
        <v>22</v>
      </c>
      <c r="R24" t="str">
        <f t="shared" si="3"/>
        <v>337.53（309.99,361.42)</v>
      </c>
    </row>
    <row r="25" hidden="1" spans="1:18">
      <c r="A25" t="s">
        <v>11</v>
      </c>
      <c r="B25" t="s">
        <v>91</v>
      </c>
      <c r="C25" t="s">
        <v>13</v>
      </c>
      <c r="D25" t="s">
        <v>27</v>
      </c>
      <c r="E25" t="s">
        <v>15</v>
      </c>
      <c r="F25" t="s">
        <v>23</v>
      </c>
      <c r="G25">
        <v>2021</v>
      </c>
      <c r="H25" s="2" t="s">
        <v>98</v>
      </c>
      <c r="I25" s="2" t="s">
        <v>99</v>
      </c>
      <c r="J25" s="2" t="s">
        <v>100</v>
      </c>
      <c r="L25">
        <f t="shared" si="0"/>
        <v>213.62</v>
      </c>
      <c r="M25" t="s">
        <v>20</v>
      </c>
      <c r="N25">
        <f t="shared" si="1"/>
        <v>196.1</v>
      </c>
      <c r="O25" t="s">
        <v>21</v>
      </c>
      <c r="P25">
        <f t="shared" si="2"/>
        <v>228.76</v>
      </c>
      <c r="Q25" t="s">
        <v>22</v>
      </c>
      <c r="R25" t="str">
        <f t="shared" si="3"/>
        <v>213.62（196.1,228.76)</v>
      </c>
    </row>
    <row r="26" hidden="1" spans="1:18">
      <c r="A26" t="s">
        <v>11</v>
      </c>
      <c r="B26" t="s">
        <v>101</v>
      </c>
      <c r="C26" t="s">
        <v>13</v>
      </c>
      <c r="D26" t="s">
        <v>14</v>
      </c>
      <c r="E26" t="s">
        <v>15</v>
      </c>
      <c r="F26" t="s">
        <v>16</v>
      </c>
      <c r="G26">
        <v>2021</v>
      </c>
      <c r="H26" s="2" t="s">
        <v>102</v>
      </c>
      <c r="I26" s="2" t="s">
        <v>103</v>
      </c>
      <c r="J26" s="2" t="s">
        <v>104</v>
      </c>
      <c r="L26">
        <f t="shared" si="0"/>
        <v>8991636.68</v>
      </c>
      <c r="M26" t="s">
        <v>20</v>
      </c>
      <c r="N26">
        <f t="shared" si="1"/>
        <v>8264123.21</v>
      </c>
      <c r="O26" t="s">
        <v>21</v>
      </c>
      <c r="P26">
        <f t="shared" si="2"/>
        <v>9531130.17</v>
      </c>
      <c r="Q26" t="s">
        <v>22</v>
      </c>
      <c r="R26" t="str">
        <f t="shared" si="3"/>
        <v>8991636.68（8264123.21,9531130.17)</v>
      </c>
    </row>
    <row r="27" hidden="1" spans="1:18">
      <c r="A27" t="s">
        <v>11</v>
      </c>
      <c r="B27" t="s">
        <v>101</v>
      </c>
      <c r="C27" t="s">
        <v>13</v>
      </c>
      <c r="D27" t="s">
        <v>14</v>
      </c>
      <c r="E27" t="s">
        <v>15</v>
      </c>
      <c r="F27" t="s">
        <v>23</v>
      </c>
      <c r="G27">
        <v>2021</v>
      </c>
      <c r="H27" s="2" t="s">
        <v>105</v>
      </c>
      <c r="I27" s="2" t="s">
        <v>106</v>
      </c>
      <c r="J27" s="2" t="s">
        <v>107</v>
      </c>
      <c r="L27">
        <f t="shared" si="0"/>
        <v>113.94</v>
      </c>
      <c r="M27" t="s">
        <v>20</v>
      </c>
      <c r="N27">
        <f t="shared" si="1"/>
        <v>104.72</v>
      </c>
      <c r="O27" t="s">
        <v>21</v>
      </c>
      <c r="P27">
        <f t="shared" si="2"/>
        <v>120.78</v>
      </c>
      <c r="Q27" t="s">
        <v>22</v>
      </c>
      <c r="R27" t="str">
        <f t="shared" si="3"/>
        <v>113.94（104.72,120.78)</v>
      </c>
    </row>
    <row r="28" hidden="1" spans="1:18">
      <c r="A28" t="s">
        <v>11</v>
      </c>
      <c r="B28" t="s">
        <v>101</v>
      </c>
      <c r="C28" t="s">
        <v>13</v>
      </c>
      <c r="D28" t="s">
        <v>27</v>
      </c>
      <c r="E28" t="s">
        <v>15</v>
      </c>
      <c r="F28" t="s">
        <v>23</v>
      </c>
      <c r="G28">
        <v>2021</v>
      </c>
      <c r="H28" s="2" t="s">
        <v>108</v>
      </c>
      <c r="I28" s="2" t="s">
        <v>109</v>
      </c>
      <c r="J28" s="2" t="s">
        <v>110</v>
      </c>
      <c r="L28">
        <f t="shared" si="0"/>
        <v>108.73</v>
      </c>
      <c r="M28" t="s">
        <v>20</v>
      </c>
      <c r="N28">
        <f t="shared" si="1"/>
        <v>99.6</v>
      </c>
      <c r="O28" t="s">
        <v>21</v>
      </c>
      <c r="P28">
        <f t="shared" si="2"/>
        <v>115.38</v>
      </c>
      <c r="Q28" t="s">
        <v>22</v>
      </c>
      <c r="R28" t="str">
        <f t="shared" si="3"/>
        <v>108.73（99.6,115.38)</v>
      </c>
    </row>
    <row r="29" hidden="1" spans="1:18">
      <c r="A29" t="s">
        <v>11</v>
      </c>
      <c r="B29" t="s">
        <v>111</v>
      </c>
      <c r="C29" t="s">
        <v>13</v>
      </c>
      <c r="D29" t="s">
        <v>14</v>
      </c>
      <c r="E29" t="s">
        <v>15</v>
      </c>
      <c r="F29" t="s">
        <v>16</v>
      </c>
      <c r="G29">
        <v>2021</v>
      </c>
      <c r="H29" s="2" t="s">
        <v>112</v>
      </c>
      <c r="I29" s="2" t="s">
        <v>113</v>
      </c>
      <c r="J29" s="2" t="s">
        <v>114</v>
      </c>
      <c r="L29">
        <f t="shared" ref="L29:L58" si="4">ROUND(H29,2)</f>
        <v>2657851.8</v>
      </c>
      <c r="M29" t="s">
        <v>20</v>
      </c>
      <c r="N29">
        <f t="shared" ref="N29:N58" si="5">ROUND(I29,2)</f>
        <v>2297472.95</v>
      </c>
      <c r="O29" t="s">
        <v>21</v>
      </c>
      <c r="P29">
        <f t="shared" ref="P29:P58" si="6">ROUND(J29,2)</f>
        <v>3001397.22</v>
      </c>
      <c r="Q29" t="s">
        <v>22</v>
      </c>
      <c r="R29" t="str">
        <f t="shared" ref="R29:R58" si="7">L29&amp;M29&amp;N29&amp;O29&amp;P29&amp;Q29</f>
        <v>2657851.8（2297472.95,3001397.22)</v>
      </c>
    </row>
    <row r="30" hidden="1" spans="1:18">
      <c r="A30" t="s">
        <v>11</v>
      </c>
      <c r="B30" t="s">
        <v>111</v>
      </c>
      <c r="C30" t="s">
        <v>13</v>
      </c>
      <c r="D30" t="s">
        <v>14</v>
      </c>
      <c r="E30" t="s">
        <v>15</v>
      </c>
      <c r="F30" t="s">
        <v>23</v>
      </c>
      <c r="G30">
        <v>2021</v>
      </c>
      <c r="H30" s="2" t="s">
        <v>115</v>
      </c>
      <c r="I30" s="2" t="s">
        <v>116</v>
      </c>
      <c r="J30" s="2" t="s">
        <v>117</v>
      </c>
      <c r="L30">
        <f t="shared" si="4"/>
        <v>121.64</v>
      </c>
      <c r="M30" t="s">
        <v>20</v>
      </c>
      <c r="N30">
        <f t="shared" si="5"/>
        <v>105.15</v>
      </c>
      <c r="O30" t="s">
        <v>21</v>
      </c>
      <c r="P30">
        <f t="shared" si="6"/>
        <v>137.36</v>
      </c>
      <c r="Q30" t="s">
        <v>22</v>
      </c>
      <c r="R30" t="str">
        <f t="shared" si="7"/>
        <v>121.64（105.15,137.36)</v>
      </c>
    </row>
    <row r="31" hidden="1" spans="1:18">
      <c r="A31" t="s">
        <v>11</v>
      </c>
      <c r="B31" t="s">
        <v>111</v>
      </c>
      <c r="C31" t="s">
        <v>13</v>
      </c>
      <c r="D31" t="s">
        <v>27</v>
      </c>
      <c r="E31" t="s">
        <v>15</v>
      </c>
      <c r="F31" t="s">
        <v>23</v>
      </c>
      <c r="G31">
        <v>2021</v>
      </c>
      <c r="H31" s="2" t="s">
        <v>118</v>
      </c>
      <c r="I31" s="2" t="s">
        <v>119</v>
      </c>
      <c r="J31" s="2" t="s">
        <v>120</v>
      </c>
      <c r="L31">
        <f t="shared" si="4"/>
        <v>110.45</v>
      </c>
      <c r="M31" t="s">
        <v>20</v>
      </c>
      <c r="N31">
        <f t="shared" si="5"/>
        <v>95.51</v>
      </c>
      <c r="O31" t="s">
        <v>21</v>
      </c>
      <c r="P31">
        <f t="shared" si="6"/>
        <v>124.45</v>
      </c>
      <c r="Q31" t="s">
        <v>22</v>
      </c>
      <c r="R31" t="str">
        <f t="shared" si="7"/>
        <v>110.45（95.51,124.45)</v>
      </c>
    </row>
    <row r="32" hidden="1" spans="1:18">
      <c r="A32" t="s">
        <v>11</v>
      </c>
      <c r="B32" t="s">
        <v>121</v>
      </c>
      <c r="C32" t="s">
        <v>13</v>
      </c>
      <c r="D32" t="s">
        <v>14</v>
      </c>
      <c r="E32" t="s">
        <v>15</v>
      </c>
      <c r="F32" t="s">
        <v>16</v>
      </c>
      <c r="G32">
        <v>2021</v>
      </c>
      <c r="H32" s="2" t="s">
        <v>122</v>
      </c>
      <c r="I32" s="2" t="s">
        <v>123</v>
      </c>
      <c r="J32" s="2" t="s">
        <v>124</v>
      </c>
      <c r="L32">
        <f t="shared" si="4"/>
        <v>352221.67</v>
      </c>
      <c r="M32" t="s">
        <v>20</v>
      </c>
      <c r="N32">
        <f t="shared" si="5"/>
        <v>315177.57</v>
      </c>
      <c r="O32" t="s">
        <v>21</v>
      </c>
      <c r="P32">
        <f t="shared" si="6"/>
        <v>393397.51</v>
      </c>
      <c r="Q32" t="s">
        <v>22</v>
      </c>
      <c r="R32" t="str">
        <f t="shared" si="7"/>
        <v>352221.67（315177.57,393397.51)</v>
      </c>
    </row>
    <row r="33" hidden="1" spans="1:18">
      <c r="A33" t="s">
        <v>11</v>
      </c>
      <c r="B33" t="s">
        <v>121</v>
      </c>
      <c r="C33" t="s">
        <v>13</v>
      </c>
      <c r="D33" t="s">
        <v>14</v>
      </c>
      <c r="E33" t="s">
        <v>15</v>
      </c>
      <c r="F33" t="s">
        <v>23</v>
      </c>
      <c r="G33">
        <v>2021</v>
      </c>
      <c r="H33" s="2" t="s">
        <v>125</v>
      </c>
      <c r="I33" s="2" t="s">
        <v>126</v>
      </c>
      <c r="J33" s="2" t="s">
        <v>127</v>
      </c>
      <c r="L33">
        <f t="shared" si="4"/>
        <v>31.08</v>
      </c>
      <c r="M33" t="s">
        <v>20</v>
      </c>
      <c r="N33">
        <f t="shared" si="5"/>
        <v>27.81</v>
      </c>
      <c r="O33" t="s">
        <v>21</v>
      </c>
      <c r="P33">
        <f t="shared" si="6"/>
        <v>34.72</v>
      </c>
      <c r="Q33" t="s">
        <v>22</v>
      </c>
      <c r="R33" t="str">
        <f t="shared" si="7"/>
        <v>31.08（27.81,34.72)</v>
      </c>
    </row>
    <row r="34" hidden="1" spans="1:18">
      <c r="A34" t="s">
        <v>11</v>
      </c>
      <c r="B34" t="s">
        <v>121</v>
      </c>
      <c r="C34" t="s">
        <v>13</v>
      </c>
      <c r="D34" t="s">
        <v>27</v>
      </c>
      <c r="E34" t="s">
        <v>15</v>
      </c>
      <c r="F34" t="s">
        <v>23</v>
      </c>
      <c r="G34">
        <v>2021</v>
      </c>
      <c r="H34" s="2" t="s">
        <v>128</v>
      </c>
      <c r="I34" s="2" t="s">
        <v>129</v>
      </c>
      <c r="J34" s="2" t="s">
        <v>130</v>
      </c>
      <c r="L34">
        <f t="shared" si="4"/>
        <v>92.86</v>
      </c>
      <c r="M34" t="s">
        <v>20</v>
      </c>
      <c r="N34">
        <f t="shared" si="5"/>
        <v>83.77</v>
      </c>
      <c r="O34" t="s">
        <v>21</v>
      </c>
      <c r="P34">
        <f t="shared" si="6"/>
        <v>102.8</v>
      </c>
      <c r="Q34" t="s">
        <v>22</v>
      </c>
      <c r="R34" t="str">
        <f t="shared" si="7"/>
        <v>92.86（83.77,102.8)</v>
      </c>
    </row>
    <row r="35" hidden="1" spans="1:18">
      <c r="A35" t="s">
        <v>11</v>
      </c>
      <c r="B35" t="s">
        <v>131</v>
      </c>
      <c r="C35" t="s">
        <v>13</v>
      </c>
      <c r="D35" t="s">
        <v>14</v>
      </c>
      <c r="E35" t="s">
        <v>15</v>
      </c>
      <c r="F35" t="s">
        <v>16</v>
      </c>
      <c r="G35">
        <v>2021</v>
      </c>
      <c r="H35" s="2" t="s">
        <v>132</v>
      </c>
      <c r="I35" s="2" t="s">
        <v>133</v>
      </c>
      <c r="J35" s="2" t="s">
        <v>134</v>
      </c>
      <c r="L35">
        <f t="shared" si="4"/>
        <v>2450426.35</v>
      </c>
      <c r="M35" t="s">
        <v>20</v>
      </c>
      <c r="N35">
        <f t="shared" si="5"/>
        <v>2218836.45</v>
      </c>
      <c r="O35" t="s">
        <v>21</v>
      </c>
      <c r="P35">
        <f t="shared" si="6"/>
        <v>2647300.49</v>
      </c>
      <c r="Q35" t="s">
        <v>22</v>
      </c>
      <c r="R35" t="str">
        <f t="shared" si="7"/>
        <v>2450426.35（2218836.45,2647300.49)</v>
      </c>
    </row>
    <row r="36" hidden="1" spans="1:18">
      <c r="A36" t="s">
        <v>11</v>
      </c>
      <c r="B36" t="s">
        <v>131</v>
      </c>
      <c r="C36" t="s">
        <v>13</v>
      </c>
      <c r="D36" t="s">
        <v>14</v>
      </c>
      <c r="E36" t="s">
        <v>15</v>
      </c>
      <c r="F36" t="s">
        <v>23</v>
      </c>
      <c r="G36">
        <v>2021</v>
      </c>
      <c r="H36" s="2" t="s">
        <v>135</v>
      </c>
      <c r="I36" s="2" t="s">
        <v>136</v>
      </c>
      <c r="J36" s="2" t="s">
        <v>137</v>
      </c>
      <c r="L36">
        <f t="shared" si="4"/>
        <v>187.91</v>
      </c>
      <c r="M36" t="s">
        <v>20</v>
      </c>
      <c r="N36">
        <f t="shared" si="5"/>
        <v>170.15</v>
      </c>
      <c r="O36" t="s">
        <v>21</v>
      </c>
      <c r="P36">
        <f t="shared" si="6"/>
        <v>203.01</v>
      </c>
      <c r="Q36" t="s">
        <v>22</v>
      </c>
      <c r="R36" t="str">
        <f t="shared" si="7"/>
        <v>187.91（170.15,203.01)</v>
      </c>
    </row>
    <row r="37" hidden="1" spans="1:18">
      <c r="A37" t="s">
        <v>11</v>
      </c>
      <c r="B37" t="s">
        <v>131</v>
      </c>
      <c r="C37" t="s">
        <v>13</v>
      </c>
      <c r="D37" t="s">
        <v>27</v>
      </c>
      <c r="E37" t="s">
        <v>15</v>
      </c>
      <c r="F37" t="s">
        <v>23</v>
      </c>
      <c r="G37">
        <v>2021</v>
      </c>
      <c r="H37" s="2" t="s">
        <v>138</v>
      </c>
      <c r="I37" s="2" t="s">
        <v>139</v>
      </c>
      <c r="J37" s="2" t="s">
        <v>140</v>
      </c>
      <c r="L37">
        <f t="shared" si="4"/>
        <v>127.5</v>
      </c>
      <c r="M37" t="s">
        <v>20</v>
      </c>
      <c r="N37">
        <f t="shared" si="5"/>
        <v>115.03</v>
      </c>
      <c r="O37" t="s">
        <v>21</v>
      </c>
      <c r="P37">
        <f t="shared" si="6"/>
        <v>137.72</v>
      </c>
      <c r="Q37" t="s">
        <v>22</v>
      </c>
      <c r="R37" t="str">
        <f t="shared" si="7"/>
        <v>127.5（115.03,137.72)</v>
      </c>
    </row>
    <row r="38" hidden="1" spans="1:18">
      <c r="A38" t="s">
        <v>11</v>
      </c>
      <c r="B38" t="s">
        <v>141</v>
      </c>
      <c r="C38" t="s">
        <v>13</v>
      </c>
      <c r="D38" t="s">
        <v>14</v>
      </c>
      <c r="E38" t="s">
        <v>15</v>
      </c>
      <c r="F38" t="s">
        <v>16</v>
      </c>
      <c r="G38">
        <v>2021</v>
      </c>
      <c r="H38" s="2" t="s">
        <v>142</v>
      </c>
      <c r="I38" s="2" t="s">
        <v>143</v>
      </c>
      <c r="J38" s="2" t="s">
        <v>144</v>
      </c>
      <c r="L38">
        <f t="shared" si="4"/>
        <v>503764.68</v>
      </c>
      <c r="M38" t="s">
        <v>20</v>
      </c>
      <c r="N38">
        <f t="shared" si="5"/>
        <v>457004.02</v>
      </c>
      <c r="O38" t="s">
        <v>21</v>
      </c>
      <c r="P38">
        <f t="shared" si="6"/>
        <v>544272.5</v>
      </c>
      <c r="Q38" t="s">
        <v>22</v>
      </c>
      <c r="R38" t="str">
        <f t="shared" si="7"/>
        <v>503764.68（457004.02,544272.5)</v>
      </c>
    </row>
    <row r="39" hidden="1" spans="1:18">
      <c r="A39" t="s">
        <v>11</v>
      </c>
      <c r="B39" t="s">
        <v>141</v>
      </c>
      <c r="C39" t="s">
        <v>13</v>
      </c>
      <c r="D39" t="s">
        <v>14</v>
      </c>
      <c r="E39" t="s">
        <v>15</v>
      </c>
      <c r="F39" t="s">
        <v>23</v>
      </c>
      <c r="G39">
        <v>2021</v>
      </c>
      <c r="H39" s="2" t="s">
        <v>145</v>
      </c>
      <c r="I39" s="2" t="s">
        <v>146</v>
      </c>
      <c r="J39" s="2" t="s">
        <v>147</v>
      </c>
      <c r="L39">
        <f t="shared" si="4"/>
        <v>84.79</v>
      </c>
      <c r="M39" t="s">
        <v>20</v>
      </c>
      <c r="N39">
        <f t="shared" si="5"/>
        <v>76.92</v>
      </c>
      <c r="O39" t="s">
        <v>21</v>
      </c>
      <c r="P39">
        <f t="shared" si="6"/>
        <v>91.61</v>
      </c>
      <c r="Q39" t="s">
        <v>22</v>
      </c>
      <c r="R39" t="str">
        <f t="shared" si="7"/>
        <v>84.79（76.92,91.61)</v>
      </c>
    </row>
    <row r="40" hidden="1" spans="1:18">
      <c r="A40" t="s">
        <v>11</v>
      </c>
      <c r="B40" t="s">
        <v>141</v>
      </c>
      <c r="C40" t="s">
        <v>13</v>
      </c>
      <c r="D40" t="s">
        <v>27</v>
      </c>
      <c r="E40" t="s">
        <v>15</v>
      </c>
      <c r="F40" t="s">
        <v>23</v>
      </c>
      <c r="G40">
        <v>2021</v>
      </c>
      <c r="H40" s="2" t="s">
        <v>148</v>
      </c>
      <c r="I40" s="2" t="s">
        <v>149</v>
      </c>
      <c r="J40" s="2" t="s">
        <v>150</v>
      </c>
      <c r="L40">
        <f t="shared" si="4"/>
        <v>83.81</v>
      </c>
      <c r="M40" t="s">
        <v>20</v>
      </c>
      <c r="N40">
        <f t="shared" si="5"/>
        <v>75.89</v>
      </c>
      <c r="O40" t="s">
        <v>21</v>
      </c>
      <c r="P40">
        <f t="shared" si="6"/>
        <v>90.56</v>
      </c>
      <c r="Q40" t="s">
        <v>22</v>
      </c>
      <c r="R40" t="str">
        <f t="shared" si="7"/>
        <v>83.81（75.89,90.56)</v>
      </c>
    </row>
    <row r="41" spans="1:18">
      <c r="A41" t="s">
        <v>151</v>
      </c>
      <c r="B41" t="s">
        <v>51</v>
      </c>
      <c r="C41" t="s">
        <v>13</v>
      </c>
      <c r="D41" t="s">
        <v>14</v>
      </c>
      <c r="E41" t="s">
        <v>15</v>
      </c>
      <c r="F41" t="s">
        <v>16</v>
      </c>
      <c r="G41">
        <v>2021</v>
      </c>
      <c r="H41" s="2" t="s">
        <v>152</v>
      </c>
      <c r="I41" s="2" t="s">
        <v>153</v>
      </c>
      <c r="J41" s="2" t="s">
        <v>154</v>
      </c>
      <c r="L41">
        <f t="shared" si="4"/>
        <v>46062373.82</v>
      </c>
      <c r="M41" t="s">
        <v>20</v>
      </c>
      <c r="N41">
        <f t="shared" si="5"/>
        <v>42687627.64</v>
      </c>
      <c r="O41" t="s">
        <v>21</v>
      </c>
      <c r="P41">
        <f t="shared" si="6"/>
        <v>49488217.32</v>
      </c>
      <c r="Q41" t="s">
        <v>22</v>
      </c>
      <c r="R41" t="str">
        <f t="shared" si="7"/>
        <v>46062373.82（42687627.64,49488217.32)</v>
      </c>
    </row>
    <row r="42" hidden="1" spans="1:18">
      <c r="A42" t="s">
        <v>151</v>
      </c>
      <c r="B42" t="s">
        <v>51</v>
      </c>
      <c r="C42" t="s">
        <v>13</v>
      </c>
      <c r="D42" t="s">
        <v>14</v>
      </c>
      <c r="E42" t="s">
        <v>15</v>
      </c>
      <c r="F42" t="s">
        <v>23</v>
      </c>
      <c r="G42">
        <v>2021</v>
      </c>
      <c r="H42" s="2" t="s">
        <v>155</v>
      </c>
      <c r="I42" s="2" t="s">
        <v>156</v>
      </c>
      <c r="J42" s="2" t="s">
        <v>157</v>
      </c>
      <c r="L42">
        <f t="shared" si="4"/>
        <v>2397.69</v>
      </c>
      <c r="M42" t="s">
        <v>20</v>
      </c>
      <c r="N42">
        <f t="shared" si="5"/>
        <v>2222.03</v>
      </c>
      <c r="O42" t="s">
        <v>21</v>
      </c>
      <c r="P42">
        <f t="shared" si="6"/>
        <v>2576.02</v>
      </c>
      <c r="Q42" t="s">
        <v>22</v>
      </c>
      <c r="R42" t="str">
        <f t="shared" si="7"/>
        <v>2397.69（2222.03,2576.02)</v>
      </c>
    </row>
    <row r="43" hidden="1" spans="1:18">
      <c r="A43" t="s">
        <v>151</v>
      </c>
      <c r="B43" t="s">
        <v>51</v>
      </c>
      <c r="C43" t="s">
        <v>13</v>
      </c>
      <c r="D43" t="s">
        <v>27</v>
      </c>
      <c r="E43" t="s">
        <v>15</v>
      </c>
      <c r="F43" t="s">
        <v>23</v>
      </c>
      <c r="G43">
        <v>2021</v>
      </c>
      <c r="H43" s="2" t="s">
        <v>158</v>
      </c>
      <c r="I43" s="2" t="s">
        <v>159</v>
      </c>
      <c r="J43" s="2" t="s">
        <v>160</v>
      </c>
      <c r="L43">
        <f t="shared" si="4"/>
        <v>3138.58</v>
      </c>
      <c r="M43" t="s">
        <v>20</v>
      </c>
      <c r="N43">
        <f t="shared" si="5"/>
        <v>2912.65</v>
      </c>
      <c r="O43" t="s">
        <v>21</v>
      </c>
      <c r="P43">
        <f t="shared" si="6"/>
        <v>3360.62</v>
      </c>
      <c r="Q43" t="s">
        <v>22</v>
      </c>
      <c r="R43" t="str">
        <f t="shared" si="7"/>
        <v>3138.58（2912.65,3360.62)</v>
      </c>
    </row>
    <row r="44" spans="1:18">
      <c r="A44" t="s">
        <v>151</v>
      </c>
      <c r="B44" t="s">
        <v>41</v>
      </c>
      <c r="C44" t="s">
        <v>13</v>
      </c>
      <c r="D44" t="s">
        <v>14</v>
      </c>
      <c r="E44" t="s">
        <v>15</v>
      </c>
      <c r="F44" t="s">
        <v>16</v>
      </c>
      <c r="G44">
        <v>2021</v>
      </c>
      <c r="H44" s="2" t="s">
        <v>161</v>
      </c>
      <c r="I44" s="2" t="s">
        <v>162</v>
      </c>
      <c r="J44" s="2" t="s">
        <v>163</v>
      </c>
      <c r="L44">
        <f t="shared" si="4"/>
        <v>50666052.86</v>
      </c>
      <c r="M44" t="s">
        <v>20</v>
      </c>
      <c r="N44">
        <f t="shared" si="5"/>
        <v>46308000.43</v>
      </c>
      <c r="O44" t="s">
        <v>21</v>
      </c>
      <c r="P44">
        <f t="shared" si="6"/>
        <v>54713621.32</v>
      </c>
      <c r="Q44" t="s">
        <v>22</v>
      </c>
      <c r="R44" t="str">
        <f t="shared" si="7"/>
        <v>50666052.86（46308000.43,54713621.32)</v>
      </c>
    </row>
    <row r="45" hidden="1" spans="1:18">
      <c r="A45" t="s">
        <v>151</v>
      </c>
      <c r="B45" t="s">
        <v>41</v>
      </c>
      <c r="C45" t="s">
        <v>13</v>
      </c>
      <c r="D45" t="s">
        <v>14</v>
      </c>
      <c r="E45" t="s">
        <v>15</v>
      </c>
      <c r="F45" t="s">
        <v>23</v>
      </c>
      <c r="G45">
        <v>2021</v>
      </c>
      <c r="H45" s="2" t="s">
        <v>164</v>
      </c>
      <c r="I45" s="2" t="s">
        <v>165</v>
      </c>
      <c r="J45" s="2" t="s">
        <v>166</v>
      </c>
      <c r="L45">
        <f t="shared" si="4"/>
        <v>2743.79</v>
      </c>
      <c r="M45" t="s">
        <v>20</v>
      </c>
      <c r="N45">
        <f t="shared" si="5"/>
        <v>2507.78</v>
      </c>
      <c r="O45" t="s">
        <v>21</v>
      </c>
      <c r="P45">
        <f t="shared" si="6"/>
        <v>2962.98</v>
      </c>
      <c r="Q45" t="s">
        <v>22</v>
      </c>
      <c r="R45" t="str">
        <f t="shared" si="7"/>
        <v>2743.79（2507.78,2962.98)</v>
      </c>
    </row>
    <row r="46" hidden="1" spans="1:18">
      <c r="A46" t="s">
        <v>151</v>
      </c>
      <c r="B46" t="s">
        <v>41</v>
      </c>
      <c r="C46" t="s">
        <v>13</v>
      </c>
      <c r="D46" t="s">
        <v>27</v>
      </c>
      <c r="E46" t="s">
        <v>15</v>
      </c>
      <c r="F46" t="s">
        <v>23</v>
      </c>
      <c r="G46">
        <v>2021</v>
      </c>
      <c r="H46" s="2" t="s">
        <v>167</v>
      </c>
      <c r="I46" s="2" t="s">
        <v>168</v>
      </c>
      <c r="J46" s="2" t="s">
        <v>169</v>
      </c>
      <c r="L46">
        <f t="shared" si="4"/>
        <v>3351.09</v>
      </c>
      <c r="M46" t="s">
        <v>20</v>
      </c>
      <c r="N46">
        <f t="shared" si="5"/>
        <v>3075.41</v>
      </c>
      <c r="O46" t="s">
        <v>21</v>
      </c>
      <c r="P46">
        <f t="shared" si="6"/>
        <v>3616.42</v>
      </c>
      <c r="Q46" t="s">
        <v>22</v>
      </c>
      <c r="R46" t="str">
        <f t="shared" si="7"/>
        <v>3351.09（3075.41,3616.42)</v>
      </c>
    </row>
    <row r="47" spans="1:18">
      <c r="A47" t="s">
        <v>151</v>
      </c>
      <c r="B47" t="s">
        <v>91</v>
      </c>
      <c r="C47" t="s">
        <v>13</v>
      </c>
      <c r="D47" t="s">
        <v>14</v>
      </c>
      <c r="E47" t="s">
        <v>15</v>
      </c>
      <c r="F47" t="s">
        <v>16</v>
      </c>
      <c r="G47">
        <v>2021</v>
      </c>
      <c r="H47" s="2" t="s">
        <v>170</v>
      </c>
      <c r="I47" s="2" t="s">
        <v>171</v>
      </c>
      <c r="J47" s="2" t="s">
        <v>172</v>
      </c>
      <c r="L47">
        <f t="shared" si="4"/>
        <v>25548159.77</v>
      </c>
      <c r="M47" t="s">
        <v>20</v>
      </c>
      <c r="N47">
        <f t="shared" si="5"/>
        <v>23641315.66</v>
      </c>
      <c r="O47" t="s">
        <v>21</v>
      </c>
      <c r="P47">
        <f t="shared" si="6"/>
        <v>27231042.17</v>
      </c>
      <c r="Q47" t="s">
        <v>22</v>
      </c>
      <c r="R47" t="str">
        <f t="shared" si="7"/>
        <v>25548159.77（23641315.66,27231042.17)</v>
      </c>
    </row>
    <row r="48" hidden="1" spans="1:18">
      <c r="A48" t="s">
        <v>151</v>
      </c>
      <c r="B48" t="s">
        <v>91</v>
      </c>
      <c r="C48" t="s">
        <v>13</v>
      </c>
      <c r="D48" t="s">
        <v>14</v>
      </c>
      <c r="E48" t="s">
        <v>15</v>
      </c>
      <c r="F48" t="s">
        <v>23</v>
      </c>
      <c r="G48">
        <v>2021</v>
      </c>
      <c r="H48" s="2" t="s">
        <v>173</v>
      </c>
      <c r="I48" s="2" t="s">
        <v>174</v>
      </c>
      <c r="J48" s="2" t="s">
        <v>175</v>
      </c>
      <c r="L48">
        <f t="shared" si="4"/>
        <v>6114.46</v>
      </c>
      <c r="M48" t="s">
        <v>20</v>
      </c>
      <c r="N48">
        <f t="shared" si="5"/>
        <v>5658.09</v>
      </c>
      <c r="O48" t="s">
        <v>21</v>
      </c>
      <c r="P48">
        <f t="shared" si="6"/>
        <v>6517.23</v>
      </c>
      <c r="Q48" t="s">
        <v>22</v>
      </c>
      <c r="R48" t="str">
        <f t="shared" si="7"/>
        <v>6114.46（5658.09,6517.23)</v>
      </c>
    </row>
    <row r="49" hidden="1" spans="1:18">
      <c r="A49" t="s">
        <v>151</v>
      </c>
      <c r="B49" t="s">
        <v>91</v>
      </c>
      <c r="C49" t="s">
        <v>13</v>
      </c>
      <c r="D49" t="s">
        <v>27</v>
      </c>
      <c r="E49" t="s">
        <v>15</v>
      </c>
      <c r="F49" t="s">
        <v>23</v>
      </c>
      <c r="G49">
        <v>2021</v>
      </c>
      <c r="H49" s="2" t="s">
        <v>176</v>
      </c>
      <c r="I49" s="2" t="s">
        <v>177</v>
      </c>
      <c r="J49" s="2" t="s">
        <v>178</v>
      </c>
      <c r="L49">
        <f t="shared" si="4"/>
        <v>3945.82</v>
      </c>
      <c r="M49" t="s">
        <v>20</v>
      </c>
      <c r="N49">
        <f t="shared" si="5"/>
        <v>3656.56</v>
      </c>
      <c r="O49" t="s">
        <v>21</v>
      </c>
      <c r="P49">
        <f t="shared" si="6"/>
        <v>4205.05</v>
      </c>
      <c r="Q49" t="s">
        <v>22</v>
      </c>
      <c r="R49" t="str">
        <f t="shared" si="7"/>
        <v>3945.82（3656.56,4205.05)</v>
      </c>
    </row>
    <row r="50" spans="1:18">
      <c r="A50" t="s">
        <v>151</v>
      </c>
      <c r="B50" t="s">
        <v>141</v>
      </c>
      <c r="C50" t="s">
        <v>13</v>
      </c>
      <c r="D50" t="s">
        <v>14</v>
      </c>
      <c r="E50" t="s">
        <v>15</v>
      </c>
      <c r="F50" t="s">
        <v>16</v>
      </c>
      <c r="G50">
        <v>2021</v>
      </c>
      <c r="H50" s="2" t="s">
        <v>179</v>
      </c>
      <c r="I50" s="2" t="s">
        <v>180</v>
      </c>
      <c r="J50" s="2" t="s">
        <v>181</v>
      </c>
      <c r="L50">
        <f t="shared" si="4"/>
        <v>10805609.1</v>
      </c>
      <c r="M50" t="s">
        <v>20</v>
      </c>
      <c r="N50">
        <f t="shared" si="5"/>
        <v>10005622.28</v>
      </c>
      <c r="O50" t="s">
        <v>21</v>
      </c>
      <c r="P50">
        <f t="shared" si="6"/>
        <v>11609601.33</v>
      </c>
      <c r="Q50" t="s">
        <v>22</v>
      </c>
      <c r="R50" t="str">
        <f t="shared" si="7"/>
        <v>10805609.1（10005622.28,11609601.33)</v>
      </c>
    </row>
    <row r="51" hidden="1" spans="1:18">
      <c r="A51" t="s">
        <v>151</v>
      </c>
      <c r="B51" t="s">
        <v>141</v>
      </c>
      <c r="C51" t="s">
        <v>13</v>
      </c>
      <c r="D51" t="s">
        <v>14</v>
      </c>
      <c r="E51" t="s">
        <v>15</v>
      </c>
      <c r="F51" t="s">
        <v>23</v>
      </c>
      <c r="G51">
        <v>2021</v>
      </c>
      <c r="H51" s="2" t="s">
        <v>182</v>
      </c>
      <c r="I51" s="2" t="s">
        <v>183</v>
      </c>
      <c r="J51" s="2" t="s">
        <v>184</v>
      </c>
      <c r="L51">
        <f t="shared" si="4"/>
        <v>1818.76</v>
      </c>
      <c r="M51" t="s">
        <v>20</v>
      </c>
      <c r="N51">
        <f t="shared" si="5"/>
        <v>1684.11</v>
      </c>
      <c r="O51" t="s">
        <v>21</v>
      </c>
      <c r="P51">
        <f t="shared" si="6"/>
        <v>1954.09</v>
      </c>
      <c r="Q51" t="s">
        <v>22</v>
      </c>
      <c r="R51" t="str">
        <f t="shared" si="7"/>
        <v>1818.76（1684.11,1954.09)</v>
      </c>
    </row>
    <row r="52" hidden="1" spans="1:18">
      <c r="A52" t="s">
        <v>151</v>
      </c>
      <c r="B52" t="s">
        <v>141</v>
      </c>
      <c r="C52" t="s">
        <v>13</v>
      </c>
      <c r="D52" t="s">
        <v>27</v>
      </c>
      <c r="E52" t="s">
        <v>15</v>
      </c>
      <c r="F52" t="s">
        <v>23</v>
      </c>
      <c r="G52">
        <v>2021</v>
      </c>
      <c r="H52" s="2" t="s">
        <v>185</v>
      </c>
      <c r="I52" s="2" t="s">
        <v>186</v>
      </c>
      <c r="J52" s="2" t="s">
        <v>187</v>
      </c>
      <c r="L52">
        <f t="shared" si="4"/>
        <v>1741.79</v>
      </c>
      <c r="M52" t="s">
        <v>20</v>
      </c>
      <c r="N52">
        <f t="shared" si="5"/>
        <v>1610.25</v>
      </c>
      <c r="O52" t="s">
        <v>21</v>
      </c>
      <c r="P52">
        <f t="shared" si="6"/>
        <v>1871.26</v>
      </c>
      <c r="Q52" t="s">
        <v>22</v>
      </c>
      <c r="R52" t="str">
        <f t="shared" si="7"/>
        <v>1741.79（1610.25,1871.26)</v>
      </c>
    </row>
    <row r="53" spans="1:18">
      <c r="A53" t="s">
        <v>151</v>
      </c>
      <c r="B53" t="s">
        <v>131</v>
      </c>
      <c r="C53" t="s">
        <v>13</v>
      </c>
      <c r="D53" t="s">
        <v>14</v>
      </c>
      <c r="E53" t="s">
        <v>15</v>
      </c>
      <c r="F53" t="s">
        <v>16</v>
      </c>
      <c r="G53">
        <v>2021</v>
      </c>
      <c r="H53" s="2" t="s">
        <v>188</v>
      </c>
      <c r="I53" s="2" t="s">
        <v>189</v>
      </c>
      <c r="J53" s="2" t="s">
        <v>190</v>
      </c>
      <c r="L53">
        <f t="shared" si="4"/>
        <v>44542561.46</v>
      </c>
      <c r="M53" t="s">
        <v>20</v>
      </c>
      <c r="N53">
        <f t="shared" si="5"/>
        <v>41134046.45</v>
      </c>
      <c r="O53" t="s">
        <v>21</v>
      </c>
      <c r="P53">
        <f t="shared" si="6"/>
        <v>48044417.49</v>
      </c>
      <c r="Q53" t="s">
        <v>22</v>
      </c>
      <c r="R53" t="str">
        <f t="shared" si="7"/>
        <v>44542561.46（41134046.45,48044417.49)</v>
      </c>
    </row>
    <row r="54" hidden="1" spans="1:18">
      <c r="A54" t="s">
        <v>151</v>
      </c>
      <c r="B54" t="s">
        <v>131</v>
      </c>
      <c r="C54" t="s">
        <v>13</v>
      </c>
      <c r="D54" t="s">
        <v>14</v>
      </c>
      <c r="E54" t="s">
        <v>15</v>
      </c>
      <c r="F54" t="s">
        <v>23</v>
      </c>
      <c r="G54">
        <v>2021</v>
      </c>
      <c r="H54" s="2" t="s">
        <v>191</v>
      </c>
      <c r="I54" s="2" t="s">
        <v>192</v>
      </c>
      <c r="J54" s="2" t="s">
        <v>193</v>
      </c>
      <c r="L54">
        <f t="shared" si="4"/>
        <v>3415.76</v>
      </c>
      <c r="M54" t="s">
        <v>20</v>
      </c>
      <c r="N54">
        <f t="shared" si="5"/>
        <v>3154.38</v>
      </c>
      <c r="O54" t="s">
        <v>21</v>
      </c>
      <c r="P54">
        <f t="shared" si="6"/>
        <v>3684.3</v>
      </c>
      <c r="Q54" t="s">
        <v>22</v>
      </c>
      <c r="R54" t="str">
        <f t="shared" si="7"/>
        <v>3415.76（3154.38,3684.3)</v>
      </c>
    </row>
    <row r="55" hidden="1" spans="1:18">
      <c r="A55" t="s">
        <v>151</v>
      </c>
      <c r="B55" t="s">
        <v>131</v>
      </c>
      <c r="C55" t="s">
        <v>13</v>
      </c>
      <c r="D55" t="s">
        <v>27</v>
      </c>
      <c r="E55" t="s">
        <v>15</v>
      </c>
      <c r="F55" t="s">
        <v>23</v>
      </c>
      <c r="G55">
        <v>2021</v>
      </c>
      <c r="H55" s="2" t="s">
        <v>194</v>
      </c>
      <c r="I55" s="2" t="s">
        <v>195</v>
      </c>
      <c r="J55" s="2" t="s">
        <v>196</v>
      </c>
      <c r="L55">
        <f t="shared" si="4"/>
        <v>2301.49</v>
      </c>
      <c r="M55" t="s">
        <v>20</v>
      </c>
      <c r="N55">
        <f t="shared" si="5"/>
        <v>2122.97</v>
      </c>
      <c r="O55" t="s">
        <v>21</v>
      </c>
      <c r="P55">
        <f t="shared" si="6"/>
        <v>2482.46</v>
      </c>
      <c r="Q55" t="s">
        <v>22</v>
      </c>
      <c r="R55" t="str">
        <f t="shared" si="7"/>
        <v>2301.49（2122.97,2482.46)</v>
      </c>
    </row>
    <row r="56" spans="1:18">
      <c r="A56" t="s">
        <v>151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>
        <v>2021</v>
      </c>
      <c r="H56" s="2" t="s">
        <v>197</v>
      </c>
      <c r="I56" s="2" t="s">
        <v>198</v>
      </c>
      <c r="J56" s="2" t="s">
        <v>199</v>
      </c>
      <c r="L56">
        <f t="shared" si="4"/>
        <v>18148597.82</v>
      </c>
      <c r="M56" t="s">
        <v>20</v>
      </c>
      <c r="N56">
        <f t="shared" si="5"/>
        <v>16140157.22</v>
      </c>
      <c r="O56" t="s">
        <v>21</v>
      </c>
      <c r="P56">
        <f t="shared" si="6"/>
        <v>20526102.82</v>
      </c>
      <c r="Q56" t="s">
        <v>22</v>
      </c>
      <c r="R56" t="str">
        <f t="shared" si="7"/>
        <v>18148597.82（16140157.22,20526102.82)</v>
      </c>
    </row>
    <row r="57" hidden="1" spans="1:18">
      <c r="A57" t="s">
        <v>151</v>
      </c>
      <c r="B57" t="s">
        <v>12</v>
      </c>
      <c r="C57" t="s">
        <v>13</v>
      </c>
      <c r="D57" t="s">
        <v>14</v>
      </c>
      <c r="E57" t="s">
        <v>15</v>
      </c>
      <c r="F57" t="s">
        <v>23</v>
      </c>
      <c r="G57">
        <v>2021</v>
      </c>
      <c r="H57" s="2" t="s">
        <v>200</v>
      </c>
      <c r="I57" s="2" t="s">
        <v>201</v>
      </c>
      <c r="J57" s="2" t="s">
        <v>202</v>
      </c>
      <c r="L57">
        <f t="shared" si="4"/>
        <v>2913.1</v>
      </c>
      <c r="M57" t="s">
        <v>20</v>
      </c>
      <c r="N57">
        <f t="shared" si="5"/>
        <v>2590.72</v>
      </c>
      <c r="O57" t="s">
        <v>21</v>
      </c>
      <c r="P57">
        <f t="shared" si="6"/>
        <v>3294.72</v>
      </c>
      <c r="Q57" t="s">
        <v>22</v>
      </c>
      <c r="R57" t="str">
        <f t="shared" si="7"/>
        <v>2913.1（2590.72,3294.72)</v>
      </c>
    </row>
    <row r="58" hidden="1" spans="1:18">
      <c r="A58" t="s">
        <v>151</v>
      </c>
      <c r="B58" t="s">
        <v>12</v>
      </c>
      <c r="C58" t="s">
        <v>13</v>
      </c>
      <c r="D58" t="s">
        <v>27</v>
      </c>
      <c r="E58" t="s">
        <v>15</v>
      </c>
      <c r="F58" t="s">
        <v>23</v>
      </c>
      <c r="G58">
        <v>2021</v>
      </c>
      <c r="H58" s="2" t="s">
        <v>203</v>
      </c>
      <c r="I58" s="2" t="s">
        <v>204</v>
      </c>
      <c r="J58" s="2" t="s">
        <v>205</v>
      </c>
      <c r="L58">
        <f t="shared" si="4"/>
        <v>4023.22</v>
      </c>
      <c r="M58" t="s">
        <v>20</v>
      </c>
      <c r="N58">
        <f t="shared" si="5"/>
        <v>3581.71</v>
      </c>
      <c r="O58" t="s">
        <v>21</v>
      </c>
      <c r="P58">
        <f t="shared" si="6"/>
        <v>4507.47</v>
      </c>
      <c r="Q58" t="s">
        <v>22</v>
      </c>
      <c r="R58" t="str">
        <f t="shared" si="7"/>
        <v>4023.22（3581.71,4507.47)</v>
      </c>
    </row>
    <row r="59" spans="1:18">
      <c r="A59" t="s">
        <v>151</v>
      </c>
      <c r="B59" t="s">
        <v>121</v>
      </c>
      <c r="C59" t="s">
        <v>13</v>
      </c>
      <c r="D59" t="s">
        <v>14</v>
      </c>
      <c r="E59" t="s">
        <v>15</v>
      </c>
      <c r="F59" t="s">
        <v>16</v>
      </c>
      <c r="G59">
        <v>2021</v>
      </c>
      <c r="H59" s="2" t="s">
        <v>206</v>
      </c>
      <c r="I59" s="2" t="s">
        <v>207</v>
      </c>
      <c r="J59" s="2" t="s">
        <v>208</v>
      </c>
      <c r="L59">
        <f t="shared" ref="L59:L96" si="8">ROUND(H59,2)</f>
        <v>8774473.89</v>
      </c>
      <c r="M59" t="s">
        <v>20</v>
      </c>
      <c r="N59">
        <f t="shared" ref="N59:N96" si="9">ROUND(I59,2)</f>
        <v>7793097.03</v>
      </c>
      <c r="O59" t="s">
        <v>21</v>
      </c>
      <c r="P59">
        <f t="shared" ref="P59:P96" si="10">ROUND(J59,2)</f>
        <v>9896944.54</v>
      </c>
      <c r="Q59" t="s">
        <v>22</v>
      </c>
      <c r="R59" t="str">
        <f t="shared" ref="R59:R96" si="11">L59&amp;M59&amp;N59&amp;O59&amp;P59&amp;Q59</f>
        <v>8774473.89（7793097.03,9896944.54)</v>
      </c>
    </row>
    <row r="60" hidden="1" spans="1:18">
      <c r="A60" t="s">
        <v>151</v>
      </c>
      <c r="B60" t="s">
        <v>121</v>
      </c>
      <c r="C60" t="s">
        <v>13</v>
      </c>
      <c r="D60" t="s">
        <v>14</v>
      </c>
      <c r="E60" t="s">
        <v>15</v>
      </c>
      <c r="F60" t="s">
        <v>23</v>
      </c>
      <c r="G60">
        <v>2021</v>
      </c>
      <c r="H60" s="2" t="s">
        <v>209</v>
      </c>
      <c r="I60" s="2" t="s">
        <v>210</v>
      </c>
      <c r="J60" s="2" t="s">
        <v>211</v>
      </c>
      <c r="L60">
        <f t="shared" si="8"/>
        <v>774.34</v>
      </c>
      <c r="M60" t="s">
        <v>20</v>
      </c>
      <c r="N60">
        <f t="shared" si="9"/>
        <v>687.73</v>
      </c>
      <c r="O60" t="s">
        <v>21</v>
      </c>
      <c r="P60">
        <f t="shared" si="10"/>
        <v>873.39</v>
      </c>
      <c r="Q60" t="s">
        <v>22</v>
      </c>
      <c r="R60" t="str">
        <f t="shared" si="11"/>
        <v>774.34（687.73,873.39)</v>
      </c>
    </row>
    <row r="61" hidden="1" spans="1:18">
      <c r="A61" t="s">
        <v>151</v>
      </c>
      <c r="B61" t="s">
        <v>121</v>
      </c>
      <c r="C61" t="s">
        <v>13</v>
      </c>
      <c r="D61" t="s">
        <v>27</v>
      </c>
      <c r="E61" t="s">
        <v>15</v>
      </c>
      <c r="F61" t="s">
        <v>23</v>
      </c>
      <c r="G61">
        <v>2021</v>
      </c>
      <c r="H61" s="2" t="s">
        <v>212</v>
      </c>
      <c r="I61" s="2" t="s">
        <v>213</v>
      </c>
      <c r="J61" s="2" t="s">
        <v>214</v>
      </c>
      <c r="L61">
        <f t="shared" si="8"/>
        <v>1859.36</v>
      </c>
      <c r="M61" t="s">
        <v>20</v>
      </c>
      <c r="N61">
        <f t="shared" si="9"/>
        <v>1664.64</v>
      </c>
      <c r="O61" t="s">
        <v>21</v>
      </c>
      <c r="P61">
        <f t="shared" si="10"/>
        <v>2081.5</v>
      </c>
      <c r="Q61" t="s">
        <v>22</v>
      </c>
      <c r="R61" t="str">
        <f t="shared" si="11"/>
        <v>1859.36（1664.64,2081.5)</v>
      </c>
    </row>
    <row r="62" spans="1:18">
      <c r="A62" t="s">
        <v>151</v>
      </c>
      <c r="B62" t="s">
        <v>101</v>
      </c>
      <c r="C62" t="s">
        <v>13</v>
      </c>
      <c r="D62" t="s">
        <v>14</v>
      </c>
      <c r="E62" t="s">
        <v>15</v>
      </c>
      <c r="F62" t="s">
        <v>16</v>
      </c>
      <c r="G62">
        <v>2021</v>
      </c>
      <c r="H62" s="2" t="s">
        <v>215</v>
      </c>
      <c r="I62" s="2" t="s">
        <v>216</v>
      </c>
      <c r="J62" s="2" t="s">
        <v>217</v>
      </c>
      <c r="L62">
        <f t="shared" si="8"/>
        <v>188360557.32</v>
      </c>
      <c r="M62" t="s">
        <v>20</v>
      </c>
      <c r="N62">
        <f t="shared" si="9"/>
        <v>177036930.41</v>
      </c>
      <c r="O62" t="s">
        <v>21</v>
      </c>
      <c r="P62">
        <f t="shared" si="10"/>
        <v>198154476.56</v>
      </c>
      <c r="Q62" t="s">
        <v>22</v>
      </c>
      <c r="R62" t="str">
        <f t="shared" si="11"/>
        <v>188360557.32（177036930.41,198154476.56)</v>
      </c>
    </row>
    <row r="63" hidden="1" spans="1:18">
      <c r="A63" t="s">
        <v>151</v>
      </c>
      <c r="B63" t="s">
        <v>101</v>
      </c>
      <c r="C63" t="s">
        <v>13</v>
      </c>
      <c r="D63" t="s">
        <v>14</v>
      </c>
      <c r="E63" t="s">
        <v>15</v>
      </c>
      <c r="F63" t="s">
        <v>23</v>
      </c>
      <c r="G63">
        <v>2021</v>
      </c>
      <c r="H63" s="2" t="s">
        <v>218</v>
      </c>
      <c r="I63" s="2" t="s">
        <v>219</v>
      </c>
      <c r="J63" s="2" t="s">
        <v>220</v>
      </c>
      <c r="L63">
        <f t="shared" si="8"/>
        <v>2386.92</v>
      </c>
      <c r="M63" t="s">
        <v>20</v>
      </c>
      <c r="N63">
        <f t="shared" si="9"/>
        <v>2243.43</v>
      </c>
      <c r="O63" t="s">
        <v>21</v>
      </c>
      <c r="P63">
        <f t="shared" si="10"/>
        <v>2511.03</v>
      </c>
      <c r="Q63" t="s">
        <v>22</v>
      </c>
      <c r="R63" t="str">
        <f t="shared" si="11"/>
        <v>2386.92（2243.43,2511.03)</v>
      </c>
    </row>
    <row r="64" hidden="1" spans="1:18">
      <c r="A64" t="s">
        <v>151</v>
      </c>
      <c r="B64" t="s">
        <v>101</v>
      </c>
      <c r="C64" t="s">
        <v>13</v>
      </c>
      <c r="D64" t="s">
        <v>27</v>
      </c>
      <c r="E64" t="s">
        <v>15</v>
      </c>
      <c r="F64" t="s">
        <v>23</v>
      </c>
      <c r="G64">
        <v>2021</v>
      </c>
      <c r="H64" s="2" t="s">
        <v>221</v>
      </c>
      <c r="I64" s="2" t="s">
        <v>222</v>
      </c>
      <c r="J64" s="2" t="s">
        <v>223</v>
      </c>
      <c r="L64">
        <f t="shared" si="8"/>
        <v>2212.16</v>
      </c>
      <c r="M64" t="s">
        <v>20</v>
      </c>
      <c r="N64">
        <f t="shared" si="9"/>
        <v>2075.54</v>
      </c>
      <c r="O64" t="s">
        <v>21</v>
      </c>
      <c r="P64">
        <f t="shared" si="10"/>
        <v>2327.61</v>
      </c>
      <c r="Q64" t="s">
        <v>22</v>
      </c>
      <c r="R64" t="str">
        <f t="shared" si="11"/>
        <v>2212.16（2075.54,2327.61)</v>
      </c>
    </row>
    <row r="65" spans="1:18">
      <c r="A65" t="s">
        <v>151</v>
      </c>
      <c r="B65" t="s">
        <v>111</v>
      </c>
      <c r="C65" t="s">
        <v>13</v>
      </c>
      <c r="D65" t="s">
        <v>14</v>
      </c>
      <c r="E65" t="s">
        <v>15</v>
      </c>
      <c r="F65" t="s">
        <v>16</v>
      </c>
      <c r="G65">
        <v>2021</v>
      </c>
      <c r="H65" s="2" t="s">
        <v>224</v>
      </c>
      <c r="I65" s="2" t="s">
        <v>225</v>
      </c>
      <c r="J65" s="2" t="s">
        <v>226</v>
      </c>
      <c r="L65">
        <f t="shared" si="8"/>
        <v>53038213.7</v>
      </c>
      <c r="M65" t="s">
        <v>20</v>
      </c>
      <c r="N65">
        <f t="shared" si="9"/>
        <v>46680862.69</v>
      </c>
      <c r="O65" t="s">
        <v>21</v>
      </c>
      <c r="P65">
        <f t="shared" si="10"/>
        <v>59709522.09</v>
      </c>
      <c r="Q65" t="s">
        <v>22</v>
      </c>
      <c r="R65" t="str">
        <f t="shared" si="11"/>
        <v>53038213.7（46680862.69,59709522.09)</v>
      </c>
    </row>
    <row r="66" hidden="1" spans="1:18">
      <c r="A66" t="s">
        <v>151</v>
      </c>
      <c r="B66" t="s">
        <v>111</v>
      </c>
      <c r="C66" t="s">
        <v>13</v>
      </c>
      <c r="D66" t="s">
        <v>14</v>
      </c>
      <c r="E66" t="s">
        <v>15</v>
      </c>
      <c r="F66" t="s">
        <v>23</v>
      </c>
      <c r="G66">
        <v>2021</v>
      </c>
      <c r="H66" s="2" t="s">
        <v>227</v>
      </c>
      <c r="I66" s="2" t="s">
        <v>228</v>
      </c>
      <c r="J66" s="2" t="s">
        <v>229</v>
      </c>
      <c r="L66">
        <f t="shared" si="8"/>
        <v>2427.37</v>
      </c>
      <c r="M66" t="s">
        <v>20</v>
      </c>
      <c r="N66">
        <f t="shared" si="9"/>
        <v>2136.42</v>
      </c>
      <c r="O66" t="s">
        <v>21</v>
      </c>
      <c r="P66">
        <f t="shared" si="10"/>
        <v>2732.69</v>
      </c>
      <c r="Q66" t="s">
        <v>22</v>
      </c>
      <c r="R66" t="str">
        <f t="shared" si="11"/>
        <v>2427.37（2136.42,2732.69)</v>
      </c>
    </row>
    <row r="67" hidden="1" spans="1:18">
      <c r="A67" t="s">
        <v>151</v>
      </c>
      <c r="B67" t="s">
        <v>111</v>
      </c>
      <c r="C67" t="s">
        <v>13</v>
      </c>
      <c r="D67" t="s">
        <v>27</v>
      </c>
      <c r="E67" t="s">
        <v>15</v>
      </c>
      <c r="F67" t="s">
        <v>23</v>
      </c>
      <c r="G67">
        <v>2021</v>
      </c>
      <c r="H67" s="2" t="s">
        <v>230</v>
      </c>
      <c r="I67" s="2" t="s">
        <v>231</v>
      </c>
      <c r="J67" s="2" t="s">
        <v>232</v>
      </c>
      <c r="L67">
        <f t="shared" si="8"/>
        <v>2006.73</v>
      </c>
      <c r="M67" t="s">
        <v>20</v>
      </c>
      <c r="N67">
        <f t="shared" si="9"/>
        <v>1757.95</v>
      </c>
      <c r="O67" t="s">
        <v>21</v>
      </c>
      <c r="P67">
        <f t="shared" si="10"/>
        <v>2254.5</v>
      </c>
      <c r="Q67" t="s">
        <v>22</v>
      </c>
      <c r="R67" t="str">
        <f t="shared" si="11"/>
        <v>2006.73（1757.95,2254.5)</v>
      </c>
    </row>
    <row r="68" spans="1:18">
      <c r="A68" t="s">
        <v>151</v>
      </c>
      <c r="B68" t="s">
        <v>81</v>
      </c>
      <c r="C68" t="s">
        <v>13</v>
      </c>
      <c r="D68" t="s">
        <v>14</v>
      </c>
      <c r="E68" t="s">
        <v>15</v>
      </c>
      <c r="F68" t="s">
        <v>16</v>
      </c>
      <c r="G68">
        <v>2021</v>
      </c>
      <c r="H68" s="2" t="s">
        <v>233</v>
      </c>
      <c r="I68" s="2" t="s">
        <v>234</v>
      </c>
      <c r="J68" s="2" t="s">
        <v>235</v>
      </c>
      <c r="L68">
        <f t="shared" si="8"/>
        <v>21379450.18</v>
      </c>
      <c r="M68" t="s">
        <v>20</v>
      </c>
      <c r="N68">
        <f t="shared" si="9"/>
        <v>19373473.23</v>
      </c>
      <c r="O68" t="s">
        <v>21</v>
      </c>
      <c r="P68">
        <f t="shared" si="10"/>
        <v>22509354.27</v>
      </c>
      <c r="Q68" t="s">
        <v>22</v>
      </c>
      <c r="R68" t="str">
        <f t="shared" si="11"/>
        <v>21379450.18（19373473.23,22509354.27)</v>
      </c>
    </row>
    <row r="69" hidden="1" spans="1:18">
      <c r="A69" t="s">
        <v>151</v>
      </c>
      <c r="B69" t="s">
        <v>81</v>
      </c>
      <c r="C69" t="s">
        <v>13</v>
      </c>
      <c r="D69" t="s">
        <v>14</v>
      </c>
      <c r="E69" t="s">
        <v>15</v>
      </c>
      <c r="F69" t="s">
        <v>23</v>
      </c>
      <c r="G69">
        <v>2021</v>
      </c>
      <c r="H69" s="2" t="s">
        <v>236</v>
      </c>
      <c r="I69" s="2" t="s">
        <v>237</v>
      </c>
      <c r="J69" s="2" t="s">
        <v>238</v>
      </c>
      <c r="L69">
        <f t="shared" si="8"/>
        <v>1958.42</v>
      </c>
      <c r="M69" t="s">
        <v>20</v>
      </c>
      <c r="N69">
        <f t="shared" si="9"/>
        <v>1774.67</v>
      </c>
      <c r="O69" t="s">
        <v>21</v>
      </c>
      <c r="P69">
        <f t="shared" si="10"/>
        <v>2061.93</v>
      </c>
      <c r="Q69" t="s">
        <v>22</v>
      </c>
      <c r="R69" t="str">
        <f t="shared" si="11"/>
        <v>1958.42（1774.67,2061.93)</v>
      </c>
    </row>
    <row r="70" hidden="1" spans="1:18">
      <c r="A70" t="s">
        <v>151</v>
      </c>
      <c r="B70" t="s">
        <v>81</v>
      </c>
      <c r="C70" t="s">
        <v>13</v>
      </c>
      <c r="D70" t="s">
        <v>27</v>
      </c>
      <c r="E70" t="s">
        <v>15</v>
      </c>
      <c r="F70" t="s">
        <v>23</v>
      </c>
      <c r="G70">
        <v>2021</v>
      </c>
      <c r="H70" s="2" t="s">
        <v>239</v>
      </c>
      <c r="I70" s="2" t="s">
        <v>240</v>
      </c>
      <c r="J70" s="2" t="s">
        <v>241</v>
      </c>
      <c r="L70">
        <f t="shared" si="8"/>
        <v>971.74</v>
      </c>
      <c r="M70" t="s">
        <v>20</v>
      </c>
      <c r="N70">
        <f t="shared" si="9"/>
        <v>899.99</v>
      </c>
      <c r="O70" t="s">
        <v>21</v>
      </c>
      <c r="P70">
        <f t="shared" si="10"/>
        <v>1012.71</v>
      </c>
      <c r="Q70" t="s">
        <v>22</v>
      </c>
      <c r="R70" t="str">
        <f t="shared" si="11"/>
        <v>971.74（899.99,1012.71)</v>
      </c>
    </row>
    <row r="71" spans="1:18">
      <c r="A71" t="s">
        <v>151</v>
      </c>
      <c r="B71" t="s">
        <v>31</v>
      </c>
      <c r="C71" t="s">
        <v>13</v>
      </c>
      <c r="D71" t="s">
        <v>14</v>
      </c>
      <c r="E71" t="s">
        <v>15</v>
      </c>
      <c r="F71" t="s">
        <v>16</v>
      </c>
      <c r="G71">
        <v>2021</v>
      </c>
      <c r="H71" s="2" t="s">
        <v>242</v>
      </c>
      <c r="I71" s="2" t="s">
        <v>243</v>
      </c>
      <c r="J71" s="2" t="s">
        <v>244</v>
      </c>
      <c r="L71">
        <f t="shared" si="8"/>
        <v>23546711.44</v>
      </c>
      <c r="M71" t="s">
        <v>20</v>
      </c>
      <c r="N71">
        <f t="shared" si="9"/>
        <v>21449543.86</v>
      </c>
      <c r="O71" t="s">
        <v>21</v>
      </c>
      <c r="P71">
        <f t="shared" si="10"/>
        <v>24737628.8</v>
      </c>
      <c r="Q71" t="s">
        <v>22</v>
      </c>
      <c r="R71" t="str">
        <f t="shared" si="11"/>
        <v>23546711.44（21449543.86,24737628.8)</v>
      </c>
    </row>
    <row r="72" hidden="1" spans="1:18">
      <c r="A72" t="s">
        <v>151</v>
      </c>
      <c r="B72" t="s">
        <v>31</v>
      </c>
      <c r="C72" t="s">
        <v>13</v>
      </c>
      <c r="D72" t="s">
        <v>14</v>
      </c>
      <c r="E72" t="s">
        <v>15</v>
      </c>
      <c r="F72" t="s">
        <v>23</v>
      </c>
      <c r="G72">
        <v>2021</v>
      </c>
      <c r="H72" s="2" t="s">
        <v>245</v>
      </c>
      <c r="I72" s="2" t="s">
        <v>246</v>
      </c>
      <c r="J72" s="2" t="s">
        <v>247</v>
      </c>
      <c r="L72">
        <f t="shared" si="8"/>
        <v>2152.26</v>
      </c>
      <c r="M72" t="s">
        <v>20</v>
      </c>
      <c r="N72">
        <f t="shared" si="9"/>
        <v>1960.57</v>
      </c>
      <c r="O72" t="s">
        <v>21</v>
      </c>
      <c r="P72">
        <f t="shared" si="10"/>
        <v>2261.11</v>
      </c>
      <c r="Q72" t="s">
        <v>22</v>
      </c>
      <c r="R72" t="str">
        <f t="shared" si="11"/>
        <v>2152.26（1960.57,2261.11)</v>
      </c>
    </row>
    <row r="73" hidden="1" spans="1:18">
      <c r="A73" t="s">
        <v>151</v>
      </c>
      <c r="B73" t="s">
        <v>31</v>
      </c>
      <c r="C73" t="s">
        <v>13</v>
      </c>
      <c r="D73" t="s">
        <v>27</v>
      </c>
      <c r="E73" t="s">
        <v>15</v>
      </c>
      <c r="F73" t="s">
        <v>23</v>
      </c>
      <c r="G73">
        <v>2021</v>
      </c>
      <c r="H73" s="2" t="s">
        <v>248</v>
      </c>
      <c r="I73" s="2" t="s">
        <v>249</v>
      </c>
      <c r="J73" s="2" t="s">
        <v>250</v>
      </c>
      <c r="L73">
        <f t="shared" si="8"/>
        <v>1134.02</v>
      </c>
      <c r="M73" t="s">
        <v>20</v>
      </c>
      <c r="N73">
        <f t="shared" si="9"/>
        <v>1053.56</v>
      </c>
      <c r="O73" t="s">
        <v>21</v>
      </c>
      <c r="P73">
        <f t="shared" si="10"/>
        <v>1186.53</v>
      </c>
      <c r="Q73" t="s">
        <v>22</v>
      </c>
      <c r="R73" t="str">
        <f t="shared" si="11"/>
        <v>1134.02（1053.56,1186.53)</v>
      </c>
    </row>
    <row r="74" spans="1:18">
      <c r="A74" t="s">
        <v>151</v>
      </c>
      <c r="B74" t="s">
        <v>61</v>
      </c>
      <c r="C74" t="s">
        <v>13</v>
      </c>
      <c r="D74" t="s">
        <v>14</v>
      </c>
      <c r="E74" t="s">
        <v>15</v>
      </c>
      <c r="F74" t="s">
        <v>16</v>
      </c>
      <c r="G74">
        <v>2021</v>
      </c>
      <c r="H74" s="2" t="s">
        <v>251</v>
      </c>
      <c r="I74" s="2" t="s">
        <v>252</v>
      </c>
      <c r="J74" s="2" t="s">
        <v>253</v>
      </c>
      <c r="L74">
        <f t="shared" si="8"/>
        <v>12778296.89</v>
      </c>
      <c r="M74" t="s">
        <v>20</v>
      </c>
      <c r="N74">
        <f t="shared" si="9"/>
        <v>11572088.23</v>
      </c>
      <c r="O74" t="s">
        <v>21</v>
      </c>
      <c r="P74">
        <f t="shared" si="10"/>
        <v>14121058.95</v>
      </c>
      <c r="Q74" t="s">
        <v>22</v>
      </c>
      <c r="R74" t="str">
        <f t="shared" si="11"/>
        <v>12778296.89（11572088.23,14121058.95)</v>
      </c>
    </row>
    <row r="75" hidden="1" spans="1:18">
      <c r="A75" t="s">
        <v>151</v>
      </c>
      <c r="B75" t="s">
        <v>61</v>
      </c>
      <c r="C75" t="s">
        <v>13</v>
      </c>
      <c r="D75" t="s">
        <v>14</v>
      </c>
      <c r="E75" t="s">
        <v>15</v>
      </c>
      <c r="F75" t="s">
        <v>23</v>
      </c>
      <c r="G75">
        <v>2021</v>
      </c>
      <c r="H75" s="2" t="s">
        <v>254</v>
      </c>
      <c r="I75" s="2" t="s">
        <v>255</v>
      </c>
      <c r="J75" s="2" t="s">
        <v>256</v>
      </c>
      <c r="L75">
        <f t="shared" si="8"/>
        <v>1143.59</v>
      </c>
      <c r="M75" t="s">
        <v>20</v>
      </c>
      <c r="N75">
        <f t="shared" si="9"/>
        <v>1035.64</v>
      </c>
      <c r="O75" t="s">
        <v>21</v>
      </c>
      <c r="P75">
        <f t="shared" si="10"/>
        <v>1263.76</v>
      </c>
      <c r="Q75" t="s">
        <v>22</v>
      </c>
      <c r="R75" t="str">
        <f t="shared" si="11"/>
        <v>1143.59（1035.64,1263.76)</v>
      </c>
    </row>
    <row r="76" hidden="1" spans="1:18">
      <c r="A76" t="s">
        <v>151</v>
      </c>
      <c r="B76" t="s">
        <v>61</v>
      </c>
      <c r="C76" t="s">
        <v>13</v>
      </c>
      <c r="D76" t="s">
        <v>27</v>
      </c>
      <c r="E76" t="s">
        <v>15</v>
      </c>
      <c r="F76" t="s">
        <v>23</v>
      </c>
      <c r="G76">
        <v>2021</v>
      </c>
      <c r="H76" s="2" t="s">
        <v>257</v>
      </c>
      <c r="I76" s="2" t="s">
        <v>258</v>
      </c>
      <c r="J76" s="2" t="s">
        <v>259</v>
      </c>
      <c r="L76">
        <f t="shared" si="8"/>
        <v>2464.12</v>
      </c>
      <c r="M76" t="s">
        <v>20</v>
      </c>
      <c r="N76">
        <f t="shared" si="9"/>
        <v>2235.87</v>
      </c>
      <c r="O76" t="s">
        <v>21</v>
      </c>
      <c r="P76">
        <f t="shared" si="10"/>
        <v>2725.2</v>
      </c>
      <c r="Q76" t="s">
        <v>22</v>
      </c>
      <c r="R76" t="str">
        <f t="shared" si="11"/>
        <v>2464.12（2235.87,2725.2)</v>
      </c>
    </row>
    <row r="77" spans="1:18">
      <c r="A77" t="s">
        <v>151</v>
      </c>
      <c r="B77" t="s">
        <v>71</v>
      </c>
      <c r="C77" t="s">
        <v>13</v>
      </c>
      <c r="D77" t="s">
        <v>14</v>
      </c>
      <c r="E77" t="s">
        <v>15</v>
      </c>
      <c r="F77" t="s">
        <v>16</v>
      </c>
      <c r="G77">
        <v>2021</v>
      </c>
      <c r="H77" s="2" t="s">
        <v>260</v>
      </c>
      <c r="I77" s="2" t="s">
        <v>261</v>
      </c>
      <c r="J77" s="2" t="s">
        <v>262</v>
      </c>
      <c r="L77">
        <f t="shared" si="8"/>
        <v>61242796.65</v>
      </c>
      <c r="M77" t="s">
        <v>20</v>
      </c>
      <c r="N77">
        <f t="shared" si="9"/>
        <v>56964813.15</v>
      </c>
      <c r="O77" t="s">
        <v>21</v>
      </c>
      <c r="P77">
        <f t="shared" si="10"/>
        <v>65533800.61</v>
      </c>
      <c r="Q77" t="s">
        <v>22</v>
      </c>
      <c r="R77" t="str">
        <f t="shared" si="11"/>
        <v>61242796.65（56964813.15,65533800.61)</v>
      </c>
    </row>
    <row r="78" hidden="1" spans="1:18">
      <c r="A78" t="s">
        <v>151</v>
      </c>
      <c r="B78" t="s">
        <v>71</v>
      </c>
      <c r="C78" t="s">
        <v>13</v>
      </c>
      <c r="D78" t="s">
        <v>14</v>
      </c>
      <c r="E78" t="s">
        <v>15</v>
      </c>
      <c r="F78" t="s">
        <v>23</v>
      </c>
      <c r="G78">
        <v>2021</v>
      </c>
      <c r="H78" s="2" t="s">
        <v>263</v>
      </c>
      <c r="I78" s="2" t="s">
        <v>264</v>
      </c>
      <c r="J78" s="2" t="s">
        <v>265</v>
      </c>
      <c r="L78">
        <f t="shared" si="8"/>
        <v>2501.19</v>
      </c>
      <c r="M78" t="s">
        <v>20</v>
      </c>
      <c r="N78">
        <f t="shared" si="9"/>
        <v>2326.48</v>
      </c>
      <c r="O78" t="s">
        <v>21</v>
      </c>
      <c r="P78">
        <f t="shared" si="10"/>
        <v>2676.44</v>
      </c>
      <c r="Q78" t="s">
        <v>22</v>
      </c>
      <c r="R78" t="str">
        <f t="shared" si="11"/>
        <v>2501.19（2326.48,2676.44)</v>
      </c>
    </row>
    <row r="79" hidden="1" spans="1:18">
      <c r="A79" t="s">
        <v>151</v>
      </c>
      <c r="B79" t="s">
        <v>71</v>
      </c>
      <c r="C79" t="s">
        <v>13</v>
      </c>
      <c r="D79" t="s">
        <v>27</v>
      </c>
      <c r="E79" t="s">
        <v>15</v>
      </c>
      <c r="F79" t="s">
        <v>23</v>
      </c>
      <c r="G79">
        <v>2021</v>
      </c>
      <c r="H79" s="2" t="s">
        <v>266</v>
      </c>
      <c r="I79" s="2" t="s">
        <v>267</v>
      </c>
      <c r="J79" s="2" t="s">
        <v>268</v>
      </c>
      <c r="L79">
        <f t="shared" si="8"/>
        <v>2351.21</v>
      </c>
      <c r="M79" t="s">
        <v>20</v>
      </c>
      <c r="N79">
        <f t="shared" si="9"/>
        <v>2174.84</v>
      </c>
      <c r="O79" t="s">
        <v>21</v>
      </c>
      <c r="P79">
        <f t="shared" si="10"/>
        <v>2514.63</v>
      </c>
      <c r="Q79" t="s">
        <v>22</v>
      </c>
      <c r="R79" t="str">
        <f t="shared" si="11"/>
        <v>2351.21（2174.84,2514.63)</v>
      </c>
    </row>
    <row r="80" hidden="1" spans="1:18">
      <c r="A80" t="s">
        <v>269</v>
      </c>
      <c r="B80" t="s">
        <v>81</v>
      </c>
      <c r="C80" t="s">
        <v>13</v>
      </c>
      <c r="D80" t="s">
        <v>27</v>
      </c>
      <c r="E80" t="s">
        <v>15</v>
      </c>
      <c r="F80" t="s">
        <v>23</v>
      </c>
      <c r="G80">
        <v>2021</v>
      </c>
      <c r="H80" s="2" t="s">
        <v>270</v>
      </c>
      <c r="I80" s="2" t="s">
        <v>271</v>
      </c>
      <c r="J80" s="2" t="s">
        <v>272</v>
      </c>
      <c r="L80">
        <f t="shared" si="8"/>
        <v>1363.02</v>
      </c>
      <c r="M80" t="s">
        <v>20</v>
      </c>
      <c r="N80">
        <f t="shared" si="9"/>
        <v>1198.25</v>
      </c>
      <c r="O80" t="s">
        <v>21</v>
      </c>
      <c r="P80">
        <f t="shared" si="10"/>
        <v>1559.73</v>
      </c>
      <c r="Q80" t="s">
        <v>22</v>
      </c>
      <c r="R80" t="str">
        <f t="shared" si="11"/>
        <v>1363.02（1198.25,1559.73)</v>
      </c>
    </row>
    <row r="81" hidden="1" spans="1:18">
      <c r="A81" t="s">
        <v>269</v>
      </c>
      <c r="B81" t="s">
        <v>81</v>
      </c>
      <c r="C81" t="s">
        <v>13</v>
      </c>
      <c r="D81" t="s">
        <v>14</v>
      </c>
      <c r="E81" t="s">
        <v>15</v>
      </c>
      <c r="F81" t="s">
        <v>16</v>
      </c>
      <c r="G81">
        <v>2021</v>
      </c>
      <c r="H81" s="2" t="s">
        <v>273</v>
      </c>
      <c r="I81" s="2" t="s">
        <v>274</v>
      </c>
      <c r="J81" s="2" t="s">
        <v>275</v>
      </c>
      <c r="L81">
        <f t="shared" si="8"/>
        <v>29272031.82</v>
      </c>
      <c r="M81" t="s">
        <v>20</v>
      </c>
      <c r="N81">
        <f t="shared" si="9"/>
        <v>25669841.23</v>
      </c>
      <c r="O81" t="s">
        <v>21</v>
      </c>
      <c r="P81">
        <f t="shared" si="10"/>
        <v>33583051.66</v>
      </c>
      <c r="Q81" t="s">
        <v>22</v>
      </c>
      <c r="R81" t="str">
        <f t="shared" si="11"/>
        <v>29272031.82（25669841.23,33583051.66)</v>
      </c>
    </row>
    <row r="82" hidden="1" spans="1:18">
      <c r="A82" t="s">
        <v>269</v>
      </c>
      <c r="B82" t="s">
        <v>81</v>
      </c>
      <c r="C82" t="s">
        <v>13</v>
      </c>
      <c r="D82" t="s">
        <v>14</v>
      </c>
      <c r="E82" t="s">
        <v>15</v>
      </c>
      <c r="F82" t="s">
        <v>23</v>
      </c>
      <c r="G82">
        <v>2021</v>
      </c>
      <c r="H82" s="2" t="s">
        <v>276</v>
      </c>
      <c r="I82" s="2" t="s">
        <v>277</v>
      </c>
      <c r="J82" s="2" t="s">
        <v>278</v>
      </c>
      <c r="L82">
        <f t="shared" si="8"/>
        <v>2681.41</v>
      </c>
      <c r="M82" t="s">
        <v>20</v>
      </c>
      <c r="N82">
        <f t="shared" si="9"/>
        <v>2351.44</v>
      </c>
      <c r="O82" t="s">
        <v>21</v>
      </c>
      <c r="P82">
        <f t="shared" si="10"/>
        <v>3076.31</v>
      </c>
      <c r="Q82" t="s">
        <v>22</v>
      </c>
      <c r="R82" t="str">
        <f t="shared" si="11"/>
        <v>2681.41（2351.44,3076.31)</v>
      </c>
    </row>
    <row r="83" hidden="1" spans="1:18">
      <c r="A83" t="s">
        <v>269</v>
      </c>
      <c r="B83" t="s">
        <v>91</v>
      </c>
      <c r="C83" t="s">
        <v>13</v>
      </c>
      <c r="D83" t="s">
        <v>27</v>
      </c>
      <c r="E83" t="s">
        <v>15</v>
      </c>
      <c r="F83" t="s">
        <v>23</v>
      </c>
      <c r="G83">
        <v>2021</v>
      </c>
      <c r="H83" s="2" t="s">
        <v>279</v>
      </c>
      <c r="I83" s="2" t="s">
        <v>280</v>
      </c>
      <c r="J83" s="2" t="s">
        <v>281</v>
      </c>
      <c r="L83">
        <f t="shared" si="8"/>
        <v>4260.77</v>
      </c>
      <c r="M83" t="s">
        <v>20</v>
      </c>
      <c r="N83">
        <f t="shared" si="9"/>
        <v>3766.35</v>
      </c>
      <c r="O83" t="s">
        <v>21</v>
      </c>
      <c r="P83">
        <f t="shared" si="10"/>
        <v>4857.46</v>
      </c>
      <c r="Q83" t="s">
        <v>22</v>
      </c>
      <c r="R83" t="str">
        <f t="shared" si="11"/>
        <v>4260.77（3766.35,4857.46)</v>
      </c>
    </row>
    <row r="84" hidden="1" spans="1:18">
      <c r="A84" t="s">
        <v>269</v>
      </c>
      <c r="B84" t="s">
        <v>91</v>
      </c>
      <c r="C84" t="s">
        <v>13</v>
      </c>
      <c r="D84" t="s">
        <v>14</v>
      </c>
      <c r="E84" t="s">
        <v>15</v>
      </c>
      <c r="F84" t="s">
        <v>16</v>
      </c>
      <c r="G84">
        <v>2021</v>
      </c>
      <c r="H84" s="2" t="s">
        <v>282</v>
      </c>
      <c r="I84" s="2" t="s">
        <v>283</v>
      </c>
      <c r="J84" s="2" t="s">
        <v>284</v>
      </c>
      <c r="L84">
        <f t="shared" si="8"/>
        <v>27867060.33</v>
      </c>
      <c r="M84" t="s">
        <v>20</v>
      </c>
      <c r="N84">
        <f t="shared" si="9"/>
        <v>24525482.27</v>
      </c>
      <c r="O84" t="s">
        <v>21</v>
      </c>
      <c r="P84">
        <f t="shared" si="10"/>
        <v>31864556.5</v>
      </c>
      <c r="Q84" t="s">
        <v>22</v>
      </c>
      <c r="R84" t="str">
        <f t="shared" si="11"/>
        <v>27867060.33（24525482.27,31864556.5)</v>
      </c>
    </row>
    <row r="85" hidden="1" spans="1:18">
      <c r="A85" t="s">
        <v>269</v>
      </c>
      <c r="B85" t="s">
        <v>91</v>
      </c>
      <c r="C85" t="s">
        <v>13</v>
      </c>
      <c r="D85" t="s">
        <v>14</v>
      </c>
      <c r="E85" t="s">
        <v>15</v>
      </c>
      <c r="F85" t="s">
        <v>23</v>
      </c>
      <c r="G85">
        <v>2021</v>
      </c>
      <c r="H85" s="2" t="s">
        <v>285</v>
      </c>
      <c r="I85" s="2" t="s">
        <v>286</v>
      </c>
      <c r="J85" s="2" t="s">
        <v>287</v>
      </c>
      <c r="L85">
        <f t="shared" si="8"/>
        <v>6669.44</v>
      </c>
      <c r="M85" t="s">
        <v>20</v>
      </c>
      <c r="N85">
        <f t="shared" si="9"/>
        <v>5869.7</v>
      </c>
      <c r="O85" t="s">
        <v>21</v>
      </c>
      <c r="P85">
        <f t="shared" si="10"/>
        <v>7626.17</v>
      </c>
      <c r="Q85" t="s">
        <v>22</v>
      </c>
      <c r="R85" t="str">
        <f t="shared" si="11"/>
        <v>6669.44（5869.7,7626.17)</v>
      </c>
    </row>
    <row r="86" hidden="1" spans="1:18">
      <c r="A86" t="s">
        <v>269</v>
      </c>
      <c r="B86" t="s">
        <v>41</v>
      </c>
      <c r="C86" t="s">
        <v>13</v>
      </c>
      <c r="D86" t="s">
        <v>27</v>
      </c>
      <c r="E86" t="s">
        <v>15</v>
      </c>
      <c r="F86" t="s">
        <v>23</v>
      </c>
      <c r="G86">
        <v>2021</v>
      </c>
      <c r="H86" s="2" t="s">
        <v>288</v>
      </c>
      <c r="I86" s="2" t="s">
        <v>289</v>
      </c>
      <c r="J86" s="2" t="s">
        <v>290</v>
      </c>
      <c r="L86">
        <f t="shared" si="8"/>
        <v>4455.73</v>
      </c>
      <c r="M86" t="s">
        <v>20</v>
      </c>
      <c r="N86">
        <f t="shared" si="9"/>
        <v>3796.73</v>
      </c>
      <c r="O86" t="s">
        <v>21</v>
      </c>
      <c r="P86">
        <f t="shared" si="10"/>
        <v>5339.2</v>
      </c>
      <c r="Q86" t="s">
        <v>22</v>
      </c>
      <c r="R86" t="str">
        <f t="shared" si="11"/>
        <v>4455.73（3796.73,5339.2)</v>
      </c>
    </row>
    <row r="87" hidden="1" spans="1:18">
      <c r="A87" t="s">
        <v>269</v>
      </c>
      <c r="B87" t="s">
        <v>141</v>
      </c>
      <c r="C87" t="s">
        <v>13</v>
      </c>
      <c r="D87" t="s">
        <v>27</v>
      </c>
      <c r="E87" t="s">
        <v>15</v>
      </c>
      <c r="F87" t="s">
        <v>23</v>
      </c>
      <c r="G87">
        <v>2021</v>
      </c>
      <c r="H87" s="2" t="s">
        <v>291</v>
      </c>
      <c r="I87" s="2" t="s">
        <v>292</v>
      </c>
      <c r="J87" s="2" t="s">
        <v>293</v>
      </c>
      <c r="L87">
        <f t="shared" si="8"/>
        <v>2368.15</v>
      </c>
      <c r="M87" t="s">
        <v>20</v>
      </c>
      <c r="N87">
        <f t="shared" si="9"/>
        <v>2070.6</v>
      </c>
      <c r="O87" t="s">
        <v>21</v>
      </c>
      <c r="P87">
        <f t="shared" si="10"/>
        <v>2710.39</v>
      </c>
      <c r="Q87" t="s">
        <v>22</v>
      </c>
      <c r="R87" t="str">
        <f t="shared" si="11"/>
        <v>2368.15（2070.6,2710.39)</v>
      </c>
    </row>
    <row r="88" hidden="1" spans="1:18">
      <c r="A88" t="s">
        <v>269</v>
      </c>
      <c r="B88" t="s">
        <v>41</v>
      </c>
      <c r="C88" t="s">
        <v>13</v>
      </c>
      <c r="D88" t="s">
        <v>14</v>
      </c>
      <c r="E88" t="s">
        <v>15</v>
      </c>
      <c r="F88" t="s">
        <v>16</v>
      </c>
      <c r="G88">
        <v>2021</v>
      </c>
      <c r="H88" s="2" t="s">
        <v>294</v>
      </c>
      <c r="I88" s="2" t="s">
        <v>295</v>
      </c>
      <c r="J88" s="2" t="s">
        <v>296</v>
      </c>
      <c r="L88">
        <f t="shared" si="8"/>
        <v>64277536.04</v>
      </c>
      <c r="M88" t="s">
        <v>20</v>
      </c>
      <c r="N88">
        <f t="shared" si="9"/>
        <v>54216694.54</v>
      </c>
      <c r="O88" t="s">
        <v>21</v>
      </c>
      <c r="P88">
        <f t="shared" si="10"/>
        <v>76364441.79</v>
      </c>
      <c r="Q88" t="s">
        <v>22</v>
      </c>
      <c r="R88" t="str">
        <f t="shared" si="11"/>
        <v>64277536.04（54216694.54,76364441.79)</v>
      </c>
    </row>
    <row r="89" hidden="1" spans="1:18">
      <c r="A89" t="s">
        <v>269</v>
      </c>
      <c r="B89" t="s">
        <v>41</v>
      </c>
      <c r="C89" t="s">
        <v>13</v>
      </c>
      <c r="D89" t="s">
        <v>14</v>
      </c>
      <c r="E89" t="s">
        <v>15</v>
      </c>
      <c r="F89" t="s">
        <v>23</v>
      </c>
      <c r="G89">
        <v>2021</v>
      </c>
      <c r="H89" s="2" t="s">
        <v>297</v>
      </c>
      <c r="I89" s="2" t="s">
        <v>298</v>
      </c>
      <c r="J89" s="2" t="s">
        <v>299</v>
      </c>
      <c r="L89">
        <f t="shared" si="8"/>
        <v>3480.91</v>
      </c>
      <c r="M89" t="s">
        <v>20</v>
      </c>
      <c r="N89">
        <f t="shared" si="9"/>
        <v>2936.07</v>
      </c>
      <c r="O89" t="s">
        <v>21</v>
      </c>
      <c r="P89">
        <f t="shared" si="10"/>
        <v>4135.47</v>
      </c>
      <c r="Q89" t="s">
        <v>22</v>
      </c>
      <c r="R89" t="str">
        <f t="shared" si="11"/>
        <v>3480.91（2936.07,4135.47)</v>
      </c>
    </row>
    <row r="90" hidden="1" spans="1:18">
      <c r="A90" t="s">
        <v>269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>
        <v>2021</v>
      </c>
      <c r="H90" s="2" t="s">
        <v>300</v>
      </c>
      <c r="I90" s="2" t="s">
        <v>301</v>
      </c>
      <c r="J90" s="2" t="s">
        <v>302</v>
      </c>
      <c r="L90">
        <f t="shared" si="8"/>
        <v>28353618.49</v>
      </c>
      <c r="M90" t="s">
        <v>20</v>
      </c>
      <c r="N90">
        <f t="shared" si="9"/>
        <v>25902216.06</v>
      </c>
      <c r="O90" t="s">
        <v>21</v>
      </c>
      <c r="P90">
        <f t="shared" si="10"/>
        <v>31330581.99</v>
      </c>
      <c r="Q90" t="s">
        <v>22</v>
      </c>
      <c r="R90" t="str">
        <f t="shared" si="11"/>
        <v>28353618.49（25902216.06,31330581.99)</v>
      </c>
    </row>
    <row r="91" hidden="1" spans="1:18">
      <c r="A91" t="s">
        <v>269</v>
      </c>
      <c r="B91" t="s">
        <v>12</v>
      </c>
      <c r="C91" t="s">
        <v>13</v>
      </c>
      <c r="D91" t="s">
        <v>14</v>
      </c>
      <c r="E91" t="s">
        <v>15</v>
      </c>
      <c r="F91" t="s">
        <v>23</v>
      </c>
      <c r="G91">
        <v>2021</v>
      </c>
      <c r="H91" s="2" t="s">
        <v>303</v>
      </c>
      <c r="I91" s="2" t="s">
        <v>304</v>
      </c>
      <c r="J91" s="2" t="s">
        <v>305</v>
      </c>
      <c r="L91">
        <f t="shared" si="8"/>
        <v>4551.14</v>
      </c>
      <c r="M91" t="s">
        <v>20</v>
      </c>
      <c r="N91">
        <f t="shared" si="9"/>
        <v>4157.66</v>
      </c>
      <c r="O91" t="s">
        <v>21</v>
      </c>
      <c r="P91">
        <f t="shared" si="10"/>
        <v>5028.99</v>
      </c>
      <c r="Q91" t="s">
        <v>22</v>
      </c>
      <c r="R91" t="str">
        <f t="shared" si="11"/>
        <v>4551.14（4157.66,5028.99)</v>
      </c>
    </row>
    <row r="92" hidden="1" spans="1:18">
      <c r="A92" t="s">
        <v>269</v>
      </c>
      <c r="B92" t="s">
        <v>12</v>
      </c>
      <c r="C92" t="s">
        <v>13</v>
      </c>
      <c r="D92" t="s">
        <v>27</v>
      </c>
      <c r="E92" t="s">
        <v>15</v>
      </c>
      <c r="F92" t="s">
        <v>23</v>
      </c>
      <c r="G92">
        <v>2021</v>
      </c>
      <c r="H92" s="2" t="s">
        <v>306</v>
      </c>
      <c r="I92" s="2" t="s">
        <v>307</v>
      </c>
      <c r="J92" s="2" t="s">
        <v>308</v>
      </c>
      <c r="L92">
        <f t="shared" si="8"/>
        <v>6404.84</v>
      </c>
      <c r="M92" t="s">
        <v>20</v>
      </c>
      <c r="N92">
        <f t="shared" si="9"/>
        <v>5872.02</v>
      </c>
      <c r="O92" t="s">
        <v>21</v>
      </c>
      <c r="P92">
        <f t="shared" si="10"/>
        <v>7041.08</v>
      </c>
      <c r="Q92" t="s">
        <v>22</v>
      </c>
      <c r="R92" t="str">
        <f t="shared" si="11"/>
        <v>6404.84（5872.02,7041.08)</v>
      </c>
    </row>
    <row r="93" hidden="1" spans="1:18">
      <c r="A93" t="s">
        <v>269</v>
      </c>
      <c r="B93" t="s">
        <v>111</v>
      </c>
      <c r="C93" t="s">
        <v>13</v>
      </c>
      <c r="D93" t="s">
        <v>14</v>
      </c>
      <c r="E93" t="s">
        <v>15</v>
      </c>
      <c r="F93" t="s">
        <v>16</v>
      </c>
      <c r="G93">
        <v>2021</v>
      </c>
      <c r="H93" s="2" t="s">
        <v>309</v>
      </c>
      <c r="I93" s="2" t="s">
        <v>310</v>
      </c>
      <c r="J93" s="2" t="s">
        <v>311</v>
      </c>
      <c r="L93">
        <f t="shared" si="8"/>
        <v>78506161.68</v>
      </c>
      <c r="M93" t="s">
        <v>20</v>
      </c>
      <c r="N93">
        <f t="shared" si="9"/>
        <v>67302693.54</v>
      </c>
      <c r="O93" t="s">
        <v>21</v>
      </c>
      <c r="P93">
        <f t="shared" si="10"/>
        <v>93395486.72</v>
      </c>
      <c r="Q93" t="s">
        <v>22</v>
      </c>
      <c r="R93" t="str">
        <f t="shared" si="11"/>
        <v>78506161.68（67302693.54,93395486.72)</v>
      </c>
    </row>
    <row r="94" hidden="1" spans="1:18">
      <c r="A94" t="s">
        <v>269</v>
      </c>
      <c r="B94" t="s">
        <v>111</v>
      </c>
      <c r="C94" t="s">
        <v>13</v>
      </c>
      <c r="D94" t="s">
        <v>14</v>
      </c>
      <c r="E94" t="s">
        <v>15</v>
      </c>
      <c r="F94" t="s">
        <v>23</v>
      </c>
      <c r="G94">
        <v>2021</v>
      </c>
      <c r="H94" s="2" t="s">
        <v>312</v>
      </c>
      <c r="I94" s="2" t="s">
        <v>313</v>
      </c>
      <c r="J94" s="2" t="s">
        <v>314</v>
      </c>
      <c r="L94">
        <f t="shared" si="8"/>
        <v>3592.95</v>
      </c>
      <c r="M94" t="s">
        <v>20</v>
      </c>
      <c r="N94">
        <f t="shared" si="9"/>
        <v>3080.2</v>
      </c>
      <c r="O94" t="s">
        <v>21</v>
      </c>
      <c r="P94">
        <f t="shared" si="10"/>
        <v>4274.38</v>
      </c>
      <c r="Q94" t="s">
        <v>22</v>
      </c>
      <c r="R94" t="str">
        <f t="shared" si="11"/>
        <v>3592.95（3080.2,4274.38)</v>
      </c>
    </row>
    <row r="95" hidden="1" spans="1:18">
      <c r="A95" t="s">
        <v>269</v>
      </c>
      <c r="B95" t="s">
        <v>101</v>
      </c>
      <c r="C95" t="s">
        <v>13</v>
      </c>
      <c r="D95" t="s">
        <v>14</v>
      </c>
      <c r="E95" t="s">
        <v>15</v>
      </c>
      <c r="F95" t="s">
        <v>16</v>
      </c>
      <c r="G95">
        <v>2021</v>
      </c>
      <c r="H95" s="2" t="s">
        <v>315</v>
      </c>
      <c r="I95" s="2" t="s">
        <v>316</v>
      </c>
      <c r="J95" s="2" t="s">
        <v>317</v>
      </c>
      <c r="L95">
        <f t="shared" si="8"/>
        <v>254276267.85</v>
      </c>
      <c r="M95" t="s">
        <v>20</v>
      </c>
      <c r="N95">
        <f t="shared" si="9"/>
        <v>221446458.08</v>
      </c>
      <c r="O95" t="s">
        <v>21</v>
      </c>
      <c r="P95">
        <f t="shared" si="10"/>
        <v>295493092.66</v>
      </c>
      <c r="Q95" t="s">
        <v>22</v>
      </c>
      <c r="R95" t="str">
        <f t="shared" si="11"/>
        <v>254276267.85（221446458.08,295493092.66)</v>
      </c>
    </row>
    <row r="96" hidden="1" spans="1:18">
      <c r="A96" t="s">
        <v>269</v>
      </c>
      <c r="B96" t="s">
        <v>101</v>
      </c>
      <c r="C96" t="s">
        <v>13</v>
      </c>
      <c r="D96" t="s">
        <v>14</v>
      </c>
      <c r="E96" t="s">
        <v>15</v>
      </c>
      <c r="F96" t="s">
        <v>23</v>
      </c>
      <c r="G96">
        <v>2021</v>
      </c>
      <c r="H96" s="2" t="s">
        <v>318</v>
      </c>
      <c r="I96" s="2" t="s">
        <v>319</v>
      </c>
      <c r="J96" s="2" t="s">
        <v>320</v>
      </c>
      <c r="L96">
        <f t="shared" si="8"/>
        <v>3222.21</v>
      </c>
      <c r="M96" t="s">
        <v>20</v>
      </c>
      <c r="N96">
        <f t="shared" si="9"/>
        <v>2806.19</v>
      </c>
      <c r="O96" t="s">
        <v>21</v>
      </c>
      <c r="P96">
        <f t="shared" si="10"/>
        <v>3744.52</v>
      </c>
      <c r="Q96" t="s">
        <v>22</v>
      </c>
      <c r="R96" t="str">
        <f t="shared" si="11"/>
        <v>3222.21（2806.19,3744.52)</v>
      </c>
    </row>
    <row r="97" hidden="1" spans="1:18">
      <c r="A97" t="s">
        <v>269</v>
      </c>
      <c r="B97" t="s">
        <v>111</v>
      </c>
      <c r="C97" t="s">
        <v>13</v>
      </c>
      <c r="D97" t="s">
        <v>27</v>
      </c>
      <c r="E97" t="s">
        <v>15</v>
      </c>
      <c r="F97" t="s">
        <v>23</v>
      </c>
      <c r="G97">
        <v>2021</v>
      </c>
      <c r="H97" s="2" t="s">
        <v>321</v>
      </c>
      <c r="I97" s="2" t="s">
        <v>322</v>
      </c>
      <c r="J97" s="2" t="s">
        <v>323</v>
      </c>
      <c r="L97">
        <f t="shared" ref="L97:L148" si="12">ROUND(H97,2)</f>
        <v>2818.48</v>
      </c>
      <c r="M97" t="s">
        <v>20</v>
      </c>
      <c r="N97">
        <f t="shared" ref="N97:N148" si="13">ROUND(I97,2)</f>
        <v>2433.59</v>
      </c>
      <c r="O97" t="s">
        <v>21</v>
      </c>
      <c r="P97">
        <f t="shared" ref="P97:P148" si="14">ROUND(J97,2)</f>
        <v>3323.94</v>
      </c>
      <c r="Q97" t="s">
        <v>22</v>
      </c>
      <c r="R97" t="str">
        <f t="shared" ref="R97:R148" si="15">L97&amp;M97&amp;N97&amp;O97&amp;P97&amp;Q97</f>
        <v>2818.48（2433.59,3323.94)</v>
      </c>
    </row>
    <row r="98" hidden="1" spans="1:18">
      <c r="A98" t="s">
        <v>269</v>
      </c>
      <c r="B98" t="s">
        <v>101</v>
      </c>
      <c r="C98" t="s">
        <v>13</v>
      </c>
      <c r="D98" t="s">
        <v>27</v>
      </c>
      <c r="E98" t="s">
        <v>15</v>
      </c>
      <c r="F98" t="s">
        <v>23</v>
      </c>
      <c r="G98">
        <v>2021</v>
      </c>
      <c r="H98" s="2" t="s">
        <v>324</v>
      </c>
      <c r="I98" s="2" t="s">
        <v>325</v>
      </c>
      <c r="J98" s="2" t="s">
        <v>326</v>
      </c>
      <c r="L98">
        <f t="shared" si="12"/>
        <v>2946.38</v>
      </c>
      <c r="M98" t="s">
        <v>20</v>
      </c>
      <c r="N98">
        <f t="shared" si="13"/>
        <v>2572.69</v>
      </c>
      <c r="O98" t="s">
        <v>21</v>
      </c>
      <c r="P98">
        <f t="shared" si="14"/>
        <v>3424.32</v>
      </c>
      <c r="Q98" t="s">
        <v>22</v>
      </c>
      <c r="R98" t="str">
        <f t="shared" si="15"/>
        <v>2946.38（2572.69,3424.32)</v>
      </c>
    </row>
    <row r="99" hidden="1" spans="1:18">
      <c r="A99" t="s">
        <v>269</v>
      </c>
      <c r="B99" t="s">
        <v>141</v>
      </c>
      <c r="C99" t="s">
        <v>13</v>
      </c>
      <c r="D99" t="s">
        <v>14</v>
      </c>
      <c r="E99" t="s">
        <v>15</v>
      </c>
      <c r="F99" t="s">
        <v>16</v>
      </c>
      <c r="G99">
        <v>2021</v>
      </c>
      <c r="H99" s="2" t="s">
        <v>327</v>
      </c>
      <c r="I99" s="2" t="s">
        <v>328</v>
      </c>
      <c r="J99" s="2" t="s">
        <v>329</v>
      </c>
      <c r="L99">
        <f t="shared" si="12"/>
        <v>14674190.35</v>
      </c>
      <c r="M99" t="s">
        <v>20</v>
      </c>
      <c r="N99">
        <f t="shared" si="13"/>
        <v>12805759.76</v>
      </c>
      <c r="O99" t="s">
        <v>21</v>
      </c>
      <c r="P99">
        <f t="shared" si="14"/>
        <v>16821134.31</v>
      </c>
      <c r="Q99" t="s">
        <v>22</v>
      </c>
      <c r="R99" t="str">
        <f t="shared" si="15"/>
        <v>14674190.35（12805759.76,16821134.31)</v>
      </c>
    </row>
    <row r="100" hidden="1" spans="1:18">
      <c r="A100" t="s">
        <v>269</v>
      </c>
      <c r="B100" t="s">
        <v>141</v>
      </c>
      <c r="C100" t="s">
        <v>13</v>
      </c>
      <c r="D100" t="s">
        <v>14</v>
      </c>
      <c r="E100" t="s">
        <v>15</v>
      </c>
      <c r="F100" t="s">
        <v>23</v>
      </c>
      <c r="G100">
        <v>2021</v>
      </c>
      <c r="H100" s="2" t="s">
        <v>330</v>
      </c>
      <c r="I100" s="2" t="s">
        <v>331</v>
      </c>
      <c r="J100" s="2" t="s">
        <v>332</v>
      </c>
      <c r="L100">
        <f t="shared" si="12"/>
        <v>2469.91</v>
      </c>
      <c r="M100" t="s">
        <v>20</v>
      </c>
      <c r="N100">
        <f t="shared" si="13"/>
        <v>2155.42</v>
      </c>
      <c r="O100" t="s">
        <v>21</v>
      </c>
      <c r="P100">
        <f t="shared" si="14"/>
        <v>2831.27</v>
      </c>
      <c r="Q100" t="s">
        <v>22</v>
      </c>
      <c r="R100" t="str">
        <f t="shared" si="15"/>
        <v>2469.91（2155.42,2831.27)</v>
      </c>
    </row>
    <row r="101" hidden="1" spans="1:18">
      <c r="A101" t="s">
        <v>269</v>
      </c>
      <c r="B101" t="s">
        <v>121</v>
      </c>
      <c r="C101" t="s">
        <v>13</v>
      </c>
      <c r="D101" t="s">
        <v>14</v>
      </c>
      <c r="E101" t="s">
        <v>15</v>
      </c>
      <c r="F101" t="s">
        <v>16</v>
      </c>
      <c r="G101">
        <v>2021</v>
      </c>
      <c r="H101" s="2" t="s">
        <v>333</v>
      </c>
      <c r="I101" s="2" t="s">
        <v>334</v>
      </c>
      <c r="J101" s="2" t="s">
        <v>335</v>
      </c>
      <c r="L101">
        <f t="shared" si="12"/>
        <v>11325669.14</v>
      </c>
      <c r="M101" t="s">
        <v>20</v>
      </c>
      <c r="N101">
        <f t="shared" si="13"/>
        <v>9869230.71</v>
      </c>
      <c r="O101" t="s">
        <v>21</v>
      </c>
      <c r="P101">
        <f t="shared" si="14"/>
        <v>12940099.26</v>
      </c>
      <c r="Q101" t="s">
        <v>22</v>
      </c>
      <c r="R101" t="str">
        <f t="shared" si="15"/>
        <v>11325669.14（9869230.71,12940099.26)</v>
      </c>
    </row>
    <row r="102" hidden="1" spans="1:18">
      <c r="A102" t="s">
        <v>269</v>
      </c>
      <c r="B102" t="s">
        <v>121</v>
      </c>
      <c r="C102" t="s">
        <v>13</v>
      </c>
      <c r="D102" t="s">
        <v>14</v>
      </c>
      <c r="E102" t="s">
        <v>15</v>
      </c>
      <c r="F102" t="s">
        <v>23</v>
      </c>
      <c r="G102">
        <v>2021</v>
      </c>
      <c r="H102" s="2" t="s">
        <v>336</v>
      </c>
      <c r="I102" s="2" t="s">
        <v>337</v>
      </c>
      <c r="J102" s="2" t="s">
        <v>338</v>
      </c>
      <c r="L102">
        <f t="shared" si="12"/>
        <v>999.48</v>
      </c>
      <c r="M102" t="s">
        <v>20</v>
      </c>
      <c r="N102">
        <f t="shared" si="13"/>
        <v>870.95</v>
      </c>
      <c r="O102" t="s">
        <v>21</v>
      </c>
      <c r="P102">
        <f t="shared" si="14"/>
        <v>1141.95</v>
      </c>
      <c r="Q102" t="s">
        <v>22</v>
      </c>
      <c r="R102" t="str">
        <f t="shared" si="15"/>
        <v>999.48（870.95,1141.95)</v>
      </c>
    </row>
    <row r="103" hidden="1" spans="1:18">
      <c r="A103" t="s">
        <v>269</v>
      </c>
      <c r="B103" t="s">
        <v>121</v>
      </c>
      <c r="C103" t="s">
        <v>13</v>
      </c>
      <c r="D103" t="s">
        <v>27</v>
      </c>
      <c r="E103" t="s">
        <v>15</v>
      </c>
      <c r="F103" t="s">
        <v>23</v>
      </c>
      <c r="G103">
        <v>2021</v>
      </c>
      <c r="H103" s="2" t="s">
        <v>339</v>
      </c>
      <c r="I103" s="2" t="s">
        <v>340</v>
      </c>
      <c r="J103" s="2" t="s">
        <v>341</v>
      </c>
      <c r="L103">
        <f t="shared" si="12"/>
        <v>2454.22</v>
      </c>
      <c r="M103" t="s">
        <v>20</v>
      </c>
      <c r="N103">
        <f t="shared" si="13"/>
        <v>2137.2</v>
      </c>
      <c r="O103" t="s">
        <v>21</v>
      </c>
      <c r="P103">
        <f t="shared" si="14"/>
        <v>2801.03</v>
      </c>
      <c r="Q103" t="s">
        <v>22</v>
      </c>
      <c r="R103" t="str">
        <f t="shared" si="15"/>
        <v>2454.22（2137.2,2801.03)</v>
      </c>
    </row>
    <row r="104" hidden="1" spans="1:18">
      <c r="A104" t="s">
        <v>269</v>
      </c>
      <c r="B104" t="s">
        <v>51</v>
      </c>
      <c r="C104" t="s">
        <v>13</v>
      </c>
      <c r="D104" t="s">
        <v>27</v>
      </c>
      <c r="E104" t="s">
        <v>15</v>
      </c>
      <c r="F104" t="s">
        <v>23</v>
      </c>
      <c r="G104">
        <v>2021</v>
      </c>
      <c r="H104" s="2" t="s">
        <v>342</v>
      </c>
      <c r="I104" s="2" t="s">
        <v>343</v>
      </c>
      <c r="J104" s="2" t="s">
        <v>344</v>
      </c>
      <c r="L104">
        <f t="shared" si="12"/>
        <v>3941.42</v>
      </c>
      <c r="M104" t="s">
        <v>20</v>
      </c>
      <c r="N104">
        <f t="shared" si="13"/>
        <v>3448.94</v>
      </c>
      <c r="O104" t="s">
        <v>21</v>
      </c>
      <c r="P104">
        <f t="shared" si="14"/>
        <v>4577.03</v>
      </c>
      <c r="Q104" t="s">
        <v>22</v>
      </c>
      <c r="R104" t="str">
        <f t="shared" si="15"/>
        <v>3941.42（3448.94,4577.03)</v>
      </c>
    </row>
    <row r="105" hidden="1" spans="1:18">
      <c r="A105" t="s">
        <v>269</v>
      </c>
      <c r="B105" t="s">
        <v>61</v>
      </c>
      <c r="C105" t="s">
        <v>13</v>
      </c>
      <c r="D105" t="s">
        <v>27</v>
      </c>
      <c r="E105" t="s">
        <v>15</v>
      </c>
      <c r="F105" t="s">
        <v>23</v>
      </c>
      <c r="G105">
        <v>2021</v>
      </c>
      <c r="H105" s="2" t="s">
        <v>345</v>
      </c>
      <c r="I105" s="2" t="s">
        <v>346</v>
      </c>
      <c r="J105" s="2" t="s">
        <v>347</v>
      </c>
      <c r="L105">
        <f t="shared" si="12"/>
        <v>3162.53</v>
      </c>
      <c r="M105" t="s">
        <v>20</v>
      </c>
      <c r="N105">
        <f t="shared" si="13"/>
        <v>2763.3</v>
      </c>
      <c r="O105" t="s">
        <v>21</v>
      </c>
      <c r="P105">
        <f t="shared" si="14"/>
        <v>3679.6</v>
      </c>
      <c r="Q105" t="s">
        <v>22</v>
      </c>
      <c r="R105" t="str">
        <f t="shared" si="15"/>
        <v>3162.53（2763.3,3679.6)</v>
      </c>
    </row>
    <row r="106" hidden="1" spans="1:18">
      <c r="A106" t="s">
        <v>269</v>
      </c>
      <c r="B106" t="s">
        <v>71</v>
      </c>
      <c r="C106" t="s">
        <v>13</v>
      </c>
      <c r="D106" t="s">
        <v>27</v>
      </c>
      <c r="E106" t="s">
        <v>15</v>
      </c>
      <c r="F106" t="s">
        <v>23</v>
      </c>
      <c r="G106">
        <v>2021</v>
      </c>
      <c r="H106" s="2" t="s">
        <v>348</v>
      </c>
      <c r="I106" s="2" t="s">
        <v>349</v>
      </c>
      <c r="J106" s="2" t="s">
        <v>350</v>
      </c>
      <c r="L106">
        <f t="shared" si="12"/>
        <v>3226.3</v>
      </c>
      <c r="M106" t="s">
        <v>20</v>
      </c>
      <c r="N106">
        <f t="shared" si="13"/>
        <v>2806.67</v>
      </c>
      <c r="O106" t="s">
        <v>21</v>
      </c>
      <c r="P106">
        <f t="shared" si="14"/>
        <v>3798.24</v>
      </c>
      <c r="Q106" t="s">
        <v>22</v>
      </c>
      <c r="R106" t="str">
        <f t="shared" si="15"/>
        <v>3226.3（2806.67,3798.24)</v>
      </c>
    </row>
    <row r="107" hidden="1" spans="1:18">
      <c r="A107" t="s">
        <v>269</v>
      </c>
      <c r="B107" t="s">
        <v>131</v>
      </c>
      <c r="C107" t="s">
        <v>13</v>
      </c>
      <c r="D107" t="s">
        <v>27</v>
      </c>
      <c r="E107" t="s">
        <v>15</v>
      </c>
      <c r="F107" t="s">
        <v>23</v>
      </c>
      <c r="G107">
        <v>2021</v>
      </c>
      <c r="H107" s="2" t="s">
        <v>351</v>
      </c>
      <c r="I107" s="2" t="s">
        <v>352</v>
      </c>
      <c r="J107" s="2" t="s">
        <v>353</v>
      </c>
      <c r="L107">
        <f t="shared" si="12"/>
        <v>3217.58</v>
      </c>
      <c r="M107" t="s">
        <v>20</v>
      </c>
      <c r="N107">
        <f t="shared" si="13"/>
        <v>2814.34</v>
      </c>
      <c r="O107" t="s">
        <v>21</v>
      </c>
      <c r="P107">
        <f t="shared" si="14"/>
        <v>3742.18</v>
      </c>
      <c r="Q107" t="s">
        <v>22</v>
      </c>
      <c r="R107" t="str">
        <f t="shared" si="15"/>
        <v>3217.58（2814.34,3742.18)</v>
      </c>
    </row>
    <row r="108" hidden="1" spans="1:18">
      <c r="A108" t="s">
        <v>269</v>
      </c>
      <c r="B108" t="s">
        <v>51</v>
      </c>
      <c r="C108" t="s">
        <v>13</v>
      </c>
      <c r="D108" t="s">
        <v>14</v>
      </c>
      <c r="E108" t="s">
        <v>15</v>
      </c>
      <c r="F108" t="s">
        <v>16</v>
      </c>
      <c r="G108">
        <v>2021</v>
      </c>
      <c r="H108" s="2" t="s">
        <v>354</v>
      </c>
      <c r="I108" s="2" t="s">
        <v>355</v>
      </c>
      <c r="J108" s="2" t="s">
        <v>356</v>
      </c>
      <c r="L108">
        <f t="shared" si="12"/>
        <v>55198197.2</v>
      </c>
      <c r="M108" t="s">
        <v>20</v>
      </c>
      <c r="N108">
        <f t="shared" si="13"/>
        <v>48035746.01</v>
      </c>
      <c r="O108" t="s">
        <v>21</v>
      </c>
      <c r="P108">
        <f t="shared" si="14"/>
        <v>63649428.13</v>
      </c>
      <c r="Q108" t="s">
        <v>22</v>
      </c>
      <c r="R108" t="str">
        <f t="shared" si="15"/>
        <v>55198197.2（48035746.01,63649428.13)</v>
      </c>
    </row>
    <row r="109" hidden="1" spans="1:18">
      <c r="A109" t="s">
        <v>269</v>
      </c>
      <c r="B109" t="s">
        <v>51</v>
      </c>
      <c r="C109" t="s">
        <v>13</v>
      </c>
      <c r="D109" t="s">
        <v>14</v>
      </c>
      <c r="E109" t="s">
        <v>15</v>
      </c>
      <c r="F109" t="s">
        <v>23</v>
      </c>
      <c r="G109">
        <v>2021</v>
      </c>
      <c r="H109" s="2" t="s">
        <v>357</v>
      </c>
      <c r="I109" s="2" t="s">
        <v>358</v>
      </c>
      <c r="J109" s="2" t="s">
        <v>359</v>
      </c>
      <c r="L109">
        <f t="shared" si="12"/>
        <v>2873.24</v>
      </c>
      <c r="M109" t="s">
        <v>20</v>
      </c>
      <c r="N109">
        <f t="shared" si="13"/>
        <v>2500.41</v>
      </c>
      <c r="O109" t="s">
        <v>21</v>
      </c>
      <c r="P109">
        <f t="shared" si="14"/>
        <v>3313.15</v>
      </c>
      <c r="Q109" t="s">
        <v>22</v>
      </c>
      <c r="R109" t="str">
        <f t="shared" si="15"/>
        <v>2873.24（2500.41,3313.15)</v>
      </c>
    </row>
    <row r="110" hidden="1" spans="1:18">
      <c r="A110" t="s">
        <v>269</v>
      </c>
      <c r="B110" t="s">
        <v>31</v>
      </c>
      <c r="C110" t="s">
        <v>13</v>
      </c>
      <c r="D110" t="s">
        <v>27</v>
      </c>
      <c r="E110" t="s">
        <v>15</v>
      </c>
      <c r="F110" t="s">
        <v>23</v>
      </c>
      <c r="G110">
        <v>2021</v>
      </c>
      <c r="H110" s="2" t="s">
        <v>360</v>
      </c>
      <c r="I110" s="2" t="s">
        <v>361</v>
      </c>
      <c r="J110" s="2" t="s">
        <v>362</v>
      </c>
      <c r="L110">
        <f t="shared" si="12"/>
        <v>1671.6</v>
      </c>
      <c r="M110" t="s">
        <v>20</v>
      </c>
      <c r="N110">
        <f t="shared" si="13"/>
        <v>1475.88</v>
      </c>
      <c r="O110" t="s">
        <v>21</v>
      </c>
      <c r="P110">
        <f t="shared" si="14"/>
        <v>1910.43</v>
      </c>
      <c r="Q110" t="s">
        <v>22</v>
      </c>
      <c r="R110" t="str">
        <f t="shared" si="15"/>
        <v>1671.6（1475.88,1910.43)</v>
      </c>
    </row>
    <row r="111" hidden="1" spans="1:18">
      <c r="A111" t="s">
        <v>269</v>
      </c>
      <c r="B111" t="s">
        <v>71</v>
      </c>
      <c r="C111" t="s">
        <v>13</v>
      </c>
      <c r="D111" t="s">
        <v>14</v>
      </c>
      <c r="E111" t="s">
        <v>15</v>
      </c>
      <c r="F111" t="s">
        <v>16</v>
      </c>
      <c r="G111">
        <v>2021</v>
      </c>
      <c r="H111" s="2" t="s">
        <v>363</v>
      </c>
      <c r="I111" s="2" t="s">
        <v>364</v>
      </c>
      <c r="J111" s="2" t="s">
        <v>365</v>
      </c>
      <c r="L111">
        <f t="shared" si="12"/>
        <v>85371063.07</v>
      </c>
      <c r="M111" t="s">
        <v>20</v>
      </c>
      <c r="N111">
        <f t="shared" si="13"/>
        <v>73614482.54</v>
      </c>
      <c r="O111" t="s">
        <v>21</v>
      </c>
      <c r="P111">
        <f t="shared" si="14"/>
        <v>100118565.06</v>
      </c>
      <c r="Q111" t="s">
        <v>22</v>
      </c>
      <c r="R111" t="str">
        <f t="shared" si="15"/>
        <v>85371063.07（73614482.54,100118565.06)</v>
      </c>
    </row>
    <row r="112" hidden="1" spans="1:18">
      <c r="A112" t="s">
        <v>269</v>
      </c>
      <c r="B112" t="s">
        <v>71</v>
      </c>
      <c r="C112" t="s">
        <v>13</v>
      </c>
      <c r="D112" t="s">
        <v>14</v>
      </c>
      <c r="E112" t="s">
        <v>15</v>
      </c>
      <c r="F112" t="s">
        <v>23</v>
      </c>
      <c r="G112">
        <v>2021</v>
      </c>
      <c r="H112" s="2" t="s">
        <v>366</v>
      </c>
      <c r="I112" s="2" t="s">
        <v>367</v>
      </c>
      <c r="J112" s="2" t="s">
        <v>368</v>
      </c>
      <c r="L112">
        <f t="shared" si="12"/>
        <v>3486.61</v>
      </c>
      <c r="M112" t="s">
        <v>20</v>
      </c>
      <c r="N112">
        <f t="shared" si="13"/>
        <v>3006.46</v>
      </c>
      <c r="O112" t="s">
        <v>21</v>
      </c>
      <c r="P112">
        <f t="shared" si="14"/>
        <v>4088.9</v>
      </c>
      <c r="Q112" t="s">
        <v>22</v>
      </c>
      <c r="R112" t="str">
        <f t="shared" si="15"/>
        <v>3486.61（3006.46,4088.9)</v>
      </c>
    </row>
    <row r="113" hidden="1" spans="1:18">
      <c r="A113" t="s">
        <v>269</v>
      </c>
      <c r="B113" t="s">
        <v>131</v>
      </c>
      <c r="C113" t="s">
        <v>13</v>
      </c>
      <c r="D113" t="s">
        <v>14</v>
      </c>
      <c r="E113" t="s">
        <v>15</v>
      </c>
      <c r="F113" t="s">
        <v>16</v>
      </c>
      <c r="G113">
        <v>2021</v>
      </c>
      <c r="H113" s="2" t="s">
        <v>369</v>
      </c>
      <c r="I113" s="2" t="s">
        <v>370</v>
      </c>
      <c r="J113" s="2" t="s">
        <v>371</v>
      </c>
      <c r="L113">
        <f t="shared" si="12"/>
        <v>63826218.25</v>
      </c>
      <c r="M113" t="s">
        <v>20</v>
      </c>
      <c r="N113">
        <f t="shared" si="13"/>
        <v>55672804.81</v>
      </c>
      <c r="O113" t="s">
        <v>21</v>
      </c>
      <c r="P113">
        <f t="shared" si="14"/>
        <v>74555301.05</v>
      </c>
      <c r="Q113" t="s">
        <v>22</v>
      </c>
      <c r="R113" t="str">
        <f t="shared" si="15"/>
        <v>63826218.25（55672804.81,74555301.05)</v>
      </c>
    </row>
    <row r="114" hidden="1" spans="1:18">
      <c r="A114" t="s">
        <v>269</v>
      </c>
      <c r="B114" t="s">
        <v>131</v>
      </c>
      <c r="C114" t="s">
        <v>13</v>
      </c>
      <c r="D114" t="s">
        <v>14</v>
      </c>
      <c r="E114" t="s">
        <v>15</v>
      </c>
      <c r="F114" t="s">
        <v>23</v>
      </c>
      <c r="G114">
        <v>2021</v>
      </c>
      <c r="H114" s="2" t="s">
        <v>372</v>
      </c>
      <c r="I114" s="2" t="s">
        <v>373</v>
      </c>
      <c r="J114" s="2" t="s">
        <v>374</v>
      </c>
      <c r="L114">
        <f t="shared" si="12"/>
        <v>4894.53</v>
      </c>
      <c r="M114" t="s">
        <v>20</v>
      </c>
      <c r="N114">
        <f t="shared" si="13"/>
        <v>4269.28</v>
      </c>
      <c r="O114" t="s">
        <v>21</v>
      </c>
      <c r="P114">
        <f t="shared" si="14"/>
        <v>5717.29</v>
      </c>
      <c r="Q114" t="s">
        <v>22</v>
      </c>
      <c r="R114" t="str">
        <f t="shared" si="15"/>
        <v>4894.53（4269.28,5717.29)</v>
      </c>
    </row>
    <row r="115" hidden="1" spans="1:18">
      <c r="A115" t="s">
        <v>269</v>
      </c>
      <c r="B115" t="s">
        <v>61</v>
      </c>
      <c r="C115" t="s">
        <v>13</v>
      </c>
      <c r="D115" t="s">
        <v>14</v>
      </c>
      <c r="E115" t="s">
        <v>15</v>
      </c>
      <c r="F115" t="s">
        <v>16</v>
      </c>
      <c r="G115">
        <v>2021</v>
      </c>
      <c r="H115" s="2" t="s">
        <v>375</v>
      </c>
      <c r="I115" s="2" t="s">
        <v>376</v>
      </c>
      <c r="J115" s="2" t="s">
        <v>377</v>
      </c>
      <c r="L115">
        <f t="shared" si="12"/>
        <v>15420053.33</v>
      </c>
      <c r="M115" t="s">
        <v>20</v>
      </c>
      <c r="N115">
        <f t="shared" si="13"/>
        <v>13308339.22</v>
      </c>
      <c r="O115" t="s">
        <v>21</v>
      </c>
      <c r="P115">
        <f t="shared" si="14"/>
        <v>17818345.52</v>
      </c>
      <c r="Q115" t="s">
        <v>22</v>
      </c>
      <c r="R115" t="str">
        <f t="shared" si="15"/>
        <v>15420053.33（13308339.22,17818345.52)</v>
      </c>
    </row>
    <row r="116" hidden="1" spans="1:18">
      <c r="A116" t="s">
        <v>269</v>
      </c>
      <c r="B116" t="s">
        <v>61</v>
      </c>
      <c r="C116" t="s">
        <v>13</v>
      </c>
      <c r="D116" t="s">
        <v>14</v>
      </c>
      <c r="E116" t="s">
        <v>15</v>
      </c>
      <c r="F116" t="s">
        <v>23</v>
      </c>
      <c r="G116">
        <v>2021</v>
      </c>
      <c r="H116" s="2" t="s">
        <v>378</v>
      </c>
      <c r="I116" s="2" t="s">
        <v>379</v>
      </c>
      <c r="J116" s="2" t="s">
        <v>380</v>
      </c>
      <c r="L116">
        <f t="shared" si="12"/>
        <v>1380.02</v>
      </c>
      <c r="M116" t="s">
        <v>20</v>
      </c>
      <c r="N116">
        <f t="shared" si="13"/>
        <v>1191.03</v>
      </c>
      <c r="O116" t="s">
        <v>21</v>
      </c>
      <c r="P116">
        <f t="shared" si="14"/>
        <v>1594.65</v>
      </c>
      <c r="Q116" t="s">
        <v>22</v>
      </c>
      <c r="R116" t="str">
        <f t="shared" si="15"/>
        <v>1380.02（1191.03,1594.65)</v>
      </c>
    </row>
    <row r="117" hidden="1" spans="1:18">
      <c r="A117" t="s">
        <v>269</v>
      </c>
      <c r="B117" t="s">
        <v>31</v>
      </c>
      <c r="C117" t="s">
        <v>13</v>
      </c>
      <c r="D117" t="s">
        <v>14</v>
      </c>
      <c r="E117" t="s">
        <v>15</v>
      </c>
      <c r="F117" t="s">
        <v>16</v>
      </c>
      <c r="G117">
        <v>2021</v>
      </c>
      <c r="H117" s="2" t="s">
        <v>381</v>
      </c>
      <c r="I117" s="2" t="s">
        <v>382</v>
      </c>
      <c r="J117" s="2" t="s">
        <v>383</v>
      </c>
      <c r="L117">
        <f t="shared" si="12"/>
        <v>34231046.17</v>
      </c>
      <c r="M117" t="s">
        <v>20</v>
      </c>
      <c r="N117">
        <f t="shared" si="13"/>
        <v>30152992.71</v>
      </c>
      <c r="O117" t="s">
        <v>21</v>
      </c>
      <c r="P117">
        <f t="shared" si="14"/>
        <v>39201712.32</v>
      </c>
      <c r="Q117" t="s">
        <v>22</v>
      </c>
      <c r="R117" t="str">
        <f t="shared" si="15"/>
        <v>34231046.17（30152992.71,39201712.32)</v>
      </c>
    </row>
    <row r="118" hidden="1" spans="1:18">
      <c r="A118" t="s">
        <v>269</v>
      </c>
      <c r="B118" t="s">
        <v>31</v>
      </c>
      <c r="C118" t="s">
        <v>13</v>
      </c>
      <c r="D118" t="s">
        <v>14</v>
      </c>
      <c r="E118" t="s">
        <v>15</v>
      </c>
      <c r="F118" t="s">
        <v>23</v>
      </c>
      <c r="G118">
        <v>2021</v>
      </c>
      <c r="H118" s="2" t="s">
        <v>384</v>
      </c>
      <c r="I118" s="2" t="s">
        <v>385</v>
      </c>
      <c r="J118" s="2" t="s">
        <v>386</v>
      </c>
      <c r="L118">
        <f t="shared" si="12"/>
        <v>3128.84</v>
      </c>
      <c r="M118" t="s">
        <v>20</v>
      </c>
      <c r="N118">
        <f t="shared" si="13"/>
        <v>2756.09</v>
      </c>
      <c r="O118" t="s">
        <v>21</v>
      </c>
      <c r="P118">
        <f t="shared" si="14"/>
        <v>3583.18</v>
      </c>
      <c r="Q118" t="s">
        <v>22</v>
      </c>
      <c r="R118" t="str">
        <f t="shared" si="15"/>
        <v>3128.84（2756.09,3583.18)</v>
      </c>
    </row>
    <row r="119" hidden="1" spans="1:18">
      <c r="A119" t="s">
        <v>387</v>
      </c>
      <c r="B119" t="s">
        <v>141</v>
      </c>
      <c r="C119" t="s">
        <v>13</v>
      </c>
      <c r="D119" t="s">
        <v>14</v>
      </c>
      <c r="E119" t="s">
        <v>15</v>
      </c>
      <c r="F119" t="s">
        <v>16</v>
      </c>
      <c r="G119">
        <v>2021</v>
      </c>
      <c r="H119" s="2" t="s">
        <v>388</v>
      </c>
      <c r="I119" s="2" t="s">
        <v>389</v>
      </c>
      <c r="J119" s="2" t="s">
        <v>390</v>
      </c>
      <c r="L119">
        <f t="shared" si="12"/>
        <v>1541093.56</v>
      </c>
      <c r="M119" t="s">
        <v>20</v>
      </c>
      <c r="N119">
        <f t="shared" si="13"/>
        <v>1264507.39</v>
      </c>
      <c r="O119" t="s">
        <v>21</v>
      </c>
      <c r="P119">
        <f t="shared" si="14"/>
        <v>1856099.16</v>
      </c>
      <c r="Q119" t="s">
        <v>22</v>
      </c>
      <c r="R119" t="str">
        <f t="shared" si="15"/>
        <v>1541093.56（1264507.39,1856099.16)</v>
      </c>
    </row>
    <row r="120" hidden="1" spans="1:18">
      <c r="A120" t="s">
        <v>387</v>
      </c>
      <c r="B120" t="s">
        <v>141</v>
      </c>
      <c r="C120" t="s">
        <v>13</v>
      </c>
      <c r="D120" t="s">
        <v>14</v>
      </c>
      <c r="E120" t="s">
        <v>15</v>
      </c>
      <c r="F120" t="s">
        <v>23</v>
      </c>
      <c r="G120">
        <v>2021</v>
      </c>
      <c r="H120">
        <v>259.39148832</v>
      </c>
      <c r="I120">
        <v>212.8374687631</v>
      </c>
      <c r="J120" s="2" t="s">
        <v>391</v>
      </c>
      <c r="L120">
        <f t="shared" si="12"/>
        <v>259.39</v>
      </c>
      <c r="M120" t="s">
        <v>20</v>
      </c>
      <c r="N120">
        <f t="shared" si="13"/>
        <v>212.84</v>
      </c>
      <c r="O120" t="s">
        <v>21</v>
      </c>
      <c r="P120">
        <f t="shared" si="14"/>
        <v>312.41</v>
      </c>
      <c r="Q120" t="s">
        <v>22</v>
      </c>
      <c r="R120" t="str">
        <f t="shared" si="15"/>
        <v>259.39（212.84,312.41)</v>
      </c>
    </row>
    <row r="121" hidden="1" spans="1:18">
      <c r="A121" t="s">
        <v>387</v>
      </c>
      <c r="B121" t="s">
        <v>141</v>
      </c>
      <c r="C121" t="s">
        <v>13</v>
      </c>
      <c r="D121" t="s">
        <v>27</v>
      </c>
      <c r="E121" t="s">
        <v>15</v>
      </c>
      <c r="F121" t="s">
        <v>23</v>
      </c>
      <c r="G121">
        <v>2021</v>
      </c>
      <c r="H121" s="2" t="s">
        <v>392</v>
      </c>
      <c r="I121" s="2" t="s">
        <v>393</v>
      </c>
      <c r="J121" s="2" t="s">
        <v>394</v>
      </c>
      <c r="L121">
        <f t="shared" si="12"/>
        <v>248.21</v>
      </c>
      <c r="M121" t="s">
        <v>20</v>
      </c>
      <c r="N121">
        <f t="shared" si="13"/>
        <v>203.5</v>
      </c>
      <c r="O121" t="s">
        <v>21</v>
      </c>
      <c r="P121">
        <f t="shared" si="14"/>
        <v>297.09</v>
      </c>
      <c r="Q121" t="s">
        <v>22</v>
      </c>
      <c r="R121" t="str">
        <f t="shared" si="15"/>
        <v>248.21（203.5,297.09)</v>
      </c>
    </row>
    <row r="122" hidden="1" spans="1:18">
      <c r="A122" t="s">
        <v>387</v>
      </c>
      <c r="B122" t="s">
        <v>81</v>
      </c>
      <c r="C122" t="s">
        <v>13</v>
      </c>
      <c r="D122" t="s">
        <v>14</v>
      </c>
      <c r="E122" t="s">
        <v>15</v>
      </c>
      <c r="F122" t="s">
        <v>16</v>
      </c>
      <c r="G122">
        <v>2021</v>
      </c>
      <c r="H122" s="2" t="s">
        <v>395</v>
      </c>
      <c r="I122" s="2" t="s">
        <v>396</v>
      </c>
      <c r="J122" s="2" t="s">
        <v>397</v>
      </c>
      <c r="L122">
        <f t="shared" si="12"/>
        <v>3462255.89</v>
      </c>
      <c r="M122" t="s">
        <v>20</v>
      </c>
      <c r="N122">
        <f t="shared" si="13"/>
        <v>2956131</v>
      </c>
      <c r="O122" t="s">
        <v>21</v>
      </c>
      <c r="P122">
        <f t="shared" si="14"/>
        <v>4061538.33</v>
      </c>
      <c r="Q122" t="s">
        <v>22</v>
      </c>
      <c r="R122" t="str">
        <f t="shared" si="15"/>
        <v>3462255.89（2956131,4061538.33)</v>
      </c>
    </row>
    <row r="123" hidden="1" spans="1:18">
      <c r="A123" t="s">
        <v>387</v>
      </c>
      <c r="B123" t="s">
        <v>81</v>
      </c>
      <c r="C123" t="s">
        <v>13</v>
      </c>
      <c r="D123" t="s">
        <v>14</v>
      </c>
      <c r="E123" t="s">
        <v>15</v>
      </c>
      <c r="F123" t="s">
        <v>23</v>
      </c>
      <c r="G123">
        <v>2021</v>
      </c>
      <c r="H123">
        <v>317.1533938289</v>
      </c>
      <c r="I123" s="2" t="s">
        <v>398</v>
      </c>
      <c r="J123" s="2" t="s">
        <v>399</v>
      </c>
      <c r="L123">
        <f t="shared" si="12"/>
        <v>317.15</v>
      </c>
      <c r="M123" t="s">
        <v>20</v>
      </c>
      <c r="N123">
        <f t="shared" si="13"/>
        <v>270.79</v>
      </c>
      <c r="O123" t="s">
        <v>21</v>
      </c>
      <c r="P123">
        <f t="shared" si="14"/>
        <v>372.05</v>
      </c>
      <c r="Q123" t="s">
        <v>22</v>
      </c>
      <c r="R123" t="str">
        <f t="shared" si="15"/>
        <v>317.15（270.79,372.05)</v>
      </c>
    </row>
    <row r="124" hidden="1" spans="1:18">
      <c r="A124" t="s">
        <v>387</v>
      </c>
      <c r="B124" t="s">
        <v>81</v>
      </c>
      <c r="C124" t="s">
        <v>13</v>
      </c>
      <c r="D124" t="s">
        <v>27</v>
      </c>
      <c r="E124" t="s">
        <v>15</v>
      </c>
      <c r="F124" t="s">
        <v>23</v>
      </c>
      <c r="G124">
        <v>2021</v>
      </c>
      <c r="H124" s="2" t="s">
        <v>400</v>
      </c>
      <c r="I124" s="2" t="s">
        <v>401</v>
      </c>
      <c r="J124" s="2" t="s">
        <v>402</v>
      </c>
      <c r="L124">
        <f t="shared" si="12"/>
        <v>159.84</v>
      </c>
      <c r="M124" t="s">
        <v>20</v>
      </c>
      <c r="N124">
        <f t="shared" si="13"/>
        <v>135.07</v>
      </c>
      <c r="O124" t="s">
        <v>21</v>
      </c>
      <c r="P124">
        <f t="shared" si="14"/>
        <v>188.16</v>
      </c>
      <c r="Q124" t="s">
        <v>22</v>
      </c>
      <c r="R124" t="str">
        <f t="shared" si="15"/>
        <v>159.84（135.07,188.16)</v>
      </c>
    </row>
    <row r="125" hidden="1" spans="1:18">
      <c r="A125" t="s">
        <v>387</v>
      </c>
      <c r="B125" t="s">
        <v>12</v>
      </c>
      <c r="C125" t="s">
        <v>13</v>
      </c>
      <c r="D125" t="s">
        <v>14</v>
      </c>
      <c r="E125" t="s">
        <v>15</v>
      </c>
      <c r="F125" t="s">
        <v>16</v>
      </c>
      <c r="G125">
        <v>2021</v>
      </c>
      <c r="H125" s="2" t="s">
        <v>403</v>
      </c>
      <c r="I125" s="2" t="s">
        <v>404</v>
      </c>
      <c r="J125" s="2" t="s">
        <v>405</v>
      </c>
      <c r="L125">
        <f t="shared" si="12"/>
        <v>4046958.3</v>
      </c>
      <c r="M125" t="s">
        <v>20</v>
      </c>
      <c r="N125">
        <f t="shared" si="13"/>
        <v>3504191.99</v>
      </c>
      <c r="O125" t="s">
        <v>21</v>
      </c>
      <c r="P125">
        <f t="shared" si="14"/>
        <v>4785078.67</v>
      </c>
      <c r="Q125" t="s">
        <v>22</v>
      </c>
      <c r="R125" t="str">
        <f t="shared" si="15"/>
        <v>4046958.3（3504191.99,4785078.67)</v>
      </c>
    </row>
    <row r="126" hidden="1" spans="1:18">
      <c r="A126" t="s">
        <v>387</v>
      </c>
      <c r="B126" t="s">
        <v>12</v>
      </c>
      <c r="C126" t="s">
        <v>13</v>
      </c>
      <c r="D126" t="s">
        <v>14</v>
      </c>
      <c r="E126" t="s">
        <v>15</v>
      </c>
      <c r="F126" t="s">
        <v>23</v>
      </c>
      <c r="G126">
        <v>2021</v>
      </c>
      <c r="H126" s="2" t="s">
        <v>406</v>
      </c>
      <c r="I126">
        <v>562.4705673634</v>
      </c>
      <c r="J126" s="2" t="s">
        <v>407</v>
      </c>
      <c r="L126">
        <f t="shared" si="12"/>
        <v>649.59</v>
      </c>
      <c r="M126" t="s">
        <v>20</v>
      </c>
      <c r="N126">
        <f t="shared" si="13"/>
        <v>562.47</v>
      </c>
      <c r="O126" t="s">
        <v>21</v>
      </c>
      <c r="P126">
        <f t="shared" si="14"/>
        <v>768.07</v>
      </c>
      <c r="Q126" t="s">
        <v>22</v>
      </c>
      <c r="R126" t="str">
        <f t="shared" si="15"/>
        <v>649.59（562.47,768.07)</v>
      </c>
    </row>
    <row r="127" hidden="1" spans="1:18">
      <c r="A127" t="s">
        <v>387</v>
      </c>
      <c r="B127" t="s">
        <v>12</v>
      </c>
      <c r="C127" t="s">
        <v>13</v>
      </c>
      <c r="D127" t="s">
        <v>27</v>
      </c>
      <c r="E127" t="s">
        <v>15</v>
      </c>
      <c r="F127" t="s">
        <v>23</v>
      </c>
      <c r="G127">
        <v>2021</v>
      </c>
      <c r="H127">
        <v>895.8474697457</v>
      </c>
      <c r="I127" s="2" t="s">
        <v>408</v>
      </c>
      <c r="J127" s="2" t="s">
        <v>409</v>
      </c>
      <c r="L127">
        <f t="shared" si="12"/>
        <v>895.85</v>
      </c>
      <c r="M127" t="s">
        <v>20</v>
      </c>
      <c r="N127">
        <f t="shared" si="13"/>
        <v>786.65</v>
      </c>
      <c r="O127" t="s">
        <v>21</v>
      </c>
      <c r="P127">
        <f t="shared" si="14"/>
        <v>1043.49</v>
      </c>
      <c r="Q127" t="s">
        <v>22</v>
      </c>
      <c r="R127" t="str">
        <f t="shared" si="15"/>
        <v>895.85（786.65,1043.49)</v>
      </c>
    </row>
    <row r="128" hidden="1" spans="1:18">
      <c r="A128" t="s">
        <v>387</v>
      </c>
      <c r="B128" t="s">
        <v>101</v>
      </c>
      <c r="C128" t="s">
        <v>13</v>
      </c>
      <c r="D128" t="s">
        <v>14</v>
      </c>
      <c r="E128" t="s">
        <v>15</v>
      </c>
      <c r="F128" t="s">
        <v>16</v>
      </c>
      <c r="G128">
        <v>2021</v>
      </c>
      <c r="H128" s="2" t="s">
        <v>410</v>
      </c>
      <c r="I128" s="2" t="s">
        <v>411</v>
      </c>
      <c r="J128" s="2" t="s">
        <v>412</v>
      </c>
      <c r="L128">
        <f t="shared" si="12"/>
        <v>31872778.18</v>
      </c>
      <c r="M128" t="s">
        <v>20</v>
      </c>
      <c r="N128">
        <f t="shared" si="13"/>
        <v>26284920.94</v>
      </c>
      <c r="O128" t="s">
        <v>21</v>
      </c>
      <c r="P128">
        <f t="shared" si="14"/>
        <v>38267834.3</v>
      </c>
      <c r="Q128" t="s">
        <v>22</v>
      </c>
      <c r="R128" t="str">
        <f t="shared" si="15"/>
        <v>31872778.18（26284920.94,38267834.3)</v>
      </c>
    </row>
    <row r="129" hidden="1" spans="1:18">
      <c r="A129" t="s">
        <v>387</v>
      </c>
      <c r="B129" t="s">
        <v>101</v>
      </c>
      <c r="C129" t="s">
        <v>13</v>
      </c>
      <c r="D129" t="s">
        <v>14</v>
      </c>
      <c r="E129" t="s">
        <v>15</v>
      </c>
      <c r="F129" t="s">
        <v>23</v>
      </c>
      <c r="G129">
        <v>2021</v>
      </c>
      <c r="H129" s="2" t="s">
        <v>413</v>
      </c>
      <c r="I129">
        <v>333.0850861546</v>
      </c>
      <c r="J129" s="2" t="s">
        <v>414</v>
      </c>
      <c r="L129">
        <f t="shared" si="12"/>
        <v>403.89</v>
      </c>
      <c r="M129" t="s">
        <v>20</v>
      </c>
      <c r="N129">
        <f t="shared" si="13"/>
        <v>333.09</v>
      </c>
      <c r="O129" t="s">
        <v>21</v>
      </c>
      <c r="P129">
        <f t="shared" si="14"/>
        <v>484.93</v>
      </c>
      <c r="Q129" t="s">
        <v>22</v>
      </c>
      <c r="R129" t="str">
        <f t="shared" si="15"/>
        <v>403.89（333.09,484.93)</v>
      </c>
    </row>
    <row r="130" hidden="1" spans="1:18">
      <c r="A130" t="s">
        <v>387</v>
      </c>
      <c r="B130" t="s">
        <v>101</v>
      </c>
      <c r="C130" t="s">
        <v>13</v>
      </c>
      <c r="D130" t="s">
        <v>27</v>
      </c>
      <c r="E130" t="s">
        <v>15</v>
      </c>
      <c r="F130" t="s">
        <v>23</v>
      </c>
      <c r="G130">
        <v>2021</v>
      </c>
      <c r="H130" s="2" t="s">
        <v>415</v>
      </c>
      <c r="I130" s="2" t="s">
        <v>416</v>
      </c>
      <c r="J130" s="2" t="s">
        <v>417</v>
      </c>
      <c r="L130">
        <f t="shared" si="12"/>
        <v>372.9</v>
      </c>
      <c r="M130" t="s">
        <v>20</v>
      </c>
      <c r="N130">
        <f t="shared" si="13"/>
        <v>307.95</v>
      </c>
      <c r="O130" t="s">
        <v>21</v>
      </c>
      <c r="P130">
        <f t="shared" si="14"/>
        <v>444.19</v>
      </c>
      <c r="Q130" t="s">
        <v>22</v>
      </c>
      <c r="R130" t="str">
        <f t="shared" si="15"/>
        <v>372.9（307.95,444.19)</v>
      </c>
    </row>
    <row r="131" hidden="1" spans="1:18">
      <c r="A131" t="s">
        <v>387</v>
      </c>
      <c r="B131" t="s">
        <v>111</v>
      </c>
      <c r="C131" t="s">
        <v>13</v>
      </c>
      <c r="D131" t="s">
        <v>14</v>
      </c>
      <c r="E131" t="s">
        <v>15</v>
      </c>
      <c r="F131" t="s">
        <v>16</v>
      </c>
      <c r="G131">
        <v>2021</v>
      </c>
      <c r="H131" s="2" t="s">
        <v>418</v>
      </c>
      <c r="I131" s="2" t="s">
        <v>419</v>
      </c>
      <c r="J131" s="2" t="s">
        <v>420</v>
      </c>
      <c r="L131">
        <f t="shared" si="12"/>
        <v>8986004.68</v>
      </c>
      <c r="M131" t="s">
        <v>20</v>
      </c>
      <c r="N131">
        <f t="shared" si="13"/>
        <v>7219932.39</v>
      </c>
      <c r="O131" t="s">
        <v>21</v>
      </c>
      <c r="P131">
        <f t="shared" si="14"/>
        <v>10956872.32</v>
      </c>
      <c r="Q131" t="s">
        <v>22</v>
      </c>
      <c r="R131" t="str">
        <f t="shared" si="15"/>
        <v>8986004.68（7219932.39,10956872.32)</v>
      </c>
    </row>
    <row r="132" hidden="1" spans="1:18">
      <c r="A132" t="s">
        <v>387</v>
      </c>
      <c r="B132" t="s">
        <v>111</v>
      </c>
      <c r="C132" t="s">
        <v>13</v>
      </c>
      <c r="D132" t="s">
        <v>14</v>
      </c>
      <c r="E132" t="s">
        <v>15</v>
      </c>
      <c r="F132" t="s">
        <v>23</v>
      </c>
      <c r="G132">
        <v>2021</v>
      </c>
      <c r="H132" s="2" t="s">
        <v>421</v>
      </c>
      <c r="I132" s="2" t="s">
        <v>422</v>
      </c>
      <c r="J132" s="2" t="s">
        <v>423</v>
      </c>
      <c r="L132">
        <f t="shared" si="12"/>
        <v>411.26</v>
      </c>
      <c r="M132" t="s">
        <v>20</v>
      </c>
      <c r="N132">
        <f t="shared" si="13"/>
        <v>330.43</v>
      </c>
      <c r="O132" t="s">
        <v>21</v>
      </c>
      <c r="P132">
        <f t="shared" si="14"/>
        <v>501.46</v>
      </c>
      <c r="Q132" t="s">
        <v>22</v>
      </c>
      <c r="R132" t="str">
        <f t="shared" si="15"/>
        <v>411.26（330.43,501.46)</v>
      </c>
    </row>
    <row r="133" hidden="1" spans="1:18">
      <c r="A133" t="s">
        <v>387</v>
      </c>
      <c r="B133" t="s">
        <v>111</v>
      </c>
      <c r="C133" t="s">
        <v>13</v>
      </c>
      <c r="D133" t="s">
        <v>27</v>
      </c>
      <c r="E133" t="s">
        <v>15</v>
      </c>
      <c r="F133" t="s">
        <v>23</v>
      </c>
      <c r="G133">
        <v>2021</v>
      </c>
      <c r="H133" s="2" t="s">
        <v>424</v>
      </c>
      <c r="I133" s="2" t="s">
        <v>425</v>
      </c>
      <c r="J133" s="2" t="s">
        <v>426</v>
      </c>
      <c r="L133">
        <f t="shared" si="12"/>
        <v>333.84</v>
      </c>
      <c r="M133" t="s">
        <v>20</v>
      </c>
      <c r="N133">
        <f t="shared" si="13"/>
        <v>269.36</v>
      </c>
      <c r="O133" t="s">
        <v>21</v>
      </c>
      <c r="P133">
        <f t="shared" si="14"/>
        <v>400.29</v>
      </c>
      <c r="Q133" t="s">
        <v>22</v>
      </c>
      <c r="R133" t="str">
        <f t="shared" si="15"/>
        <v>333.84（269.36,400.29)</v>
      </c>
    </row>
    <row r="134" hidden="1" spans="1:18">
      <c r="A134" t="s">
        <v>387</v>
      </c>
      <c r="B134" t="s">
        <v>91</v>
      </c>
      <c r="C134" t="s">
        <v>13</v>
      </c>
      <c r="D134" t="s">
        <v>14</v>
      </c>
      <c r="E134" t="s">
        <v>15</v>
      </c>
      <c r="F134" t="s">
        <v>16</v>
      </c>
      <c r="G134">
        <v>2021</v>
      </c>
      <c r="H134" s="2" t="s">
        <v>427</v>
      </c>
      <c r="I134" s="2" t="s">
        <v>428</v>
      </c>
      <c r="J134" s="2" t="s">
        <v>429</v>
      </c>
      <c r="L134">
        <f t="shared" si="12"/>
        <v>3770236.02</v>
      </c>
      <c r="M134" t="s">
        <v>20</v>
      </c>
      <c r="N134">
        <f t="shared" si="13"/>
        <v>3148974.65</v>
      </c>
      <c r="O134" t="s">
        <v>21</v>
      </c>
      <c r="P134">
        <f t="shared" si="14"/>
        <v>4489397.49</v>
      </c>
      <c r="Q134" t="s">
        <v>22</v>
      </c>
      <c r="R134" t="str">
        <f t="shared" si="15"/>
        <v>3770236.02（3148974.65,4489397.49)</v>
      </c>
    </row>
    <row r="135" hidden="1" spans="1:18">
      <c r="A135" t="s">
        <v>387</v>
      </c>
      <c r="B135" t="s">
        <v>91</v>
      </c>
      <c r="C135" t="s">
        <v>13</v>
      </c>
      <c r="D135" t="s">
        <v>14</v>
      </c>
      <c r="E135" t="s">
        <v>15</v>
      </c>
      <c r="F135" t="s">
        <v>23</v>
      </c>
      <c r="G135">
        <v>2021</v>
      </c>
      <c r="H135" s="2" t="s">
        <v>430</v>
      </c>
      <c r="I135">
        <v>753.6463925324</v>
      </c>
      <c r="J135" s="2" t="s">
        <v>431</v>
      </c>
      <c r="L135">
        <f t="shared" si="12"/>
        <v>902.33</v>
      </c>
      <c r="M135" t="s">
        <v>20</v>
      </c>
      <c r="N135">
        <f t="shared" si="13"/>
        <v>753.65</v>
      </c>
      <c r="O135" t="s">
        <v>21</v>
      </c>
      <c r="P135">
        <f t="shared" si="14"/>
        <v>1074.45</v>
      </c>
      <c r="Q135" t="s">
        <v>22</v>
      </c>
      <c r="R135" t="str">
        <f t="shared" si="15"/>
        <v>902.33（753.65,1074.45)</v>
      </c>
    </row>
    <row r="136" hidden="1" spans="1:18">
      <c r="A136" t="s">
        <v>387</v>
      </c>
      <c r="B136" t="s">
        <v>91</v>
      </c>
      <c r="C136" t="s">
        <v>13</v>
      </c>
      <c r="D136" t="s">
        <v>27</v>
      </c>
      <c r="E136" t="s">
        <v>15</v>
      </c>
      <c r="F136" t="s">
        <v>23</v>
      </c>
      <c r="G136">
        <v>2021</v>
      </c>
      <c r="H136" s="2" t="s">
        <v>432</v>
      </c>
      <c r="I136" s="2" t="s">
        <v>433</v>
      </c>
      <c r="J136" s="2" t="s">
        <v>434</v>
      </c>
      <c r="L136">
        <f t="shared" si="12"/>
        <v>582.33</v>
      </c>
      <c r="M136" t="s">
        <v>20</v>
      </c>
      <c r="N136">
        <f t="shared" si="13"/>
        <v>488.54</v>
      </c>
      <c r="O136" t="s">
        <v>21</v>
      </c>
      <c r="P136">
        <f t="shared" si="14"/>
        <v>684.16</v>
      </c>
      <c r="Q136" t="s">
        <v>22</v>
      </c>
      <c r="R136" t="str">
        <f t="shared" si="15"/>
        <v>582.33（488.54,684.16)</v>
      </c>
    </row>
    <row r="137" hidden="1" spans="1:18">
      <c r="A137" t="s">
        <v>387</v>
      </c>
      <c r="B137" t="s">
        <v>121</v>
      </c>
      <c r="C137" t="s">
        <v>13</v>
      </c>
      <c r="D137" t="s">
        <v>14</v>
      </c>
      <c r="E137" t="s">
        <v>15</v>
      </c>
      <c r="F137" t="s">
        <v>16</v>
      </c>
      <c r="G137">
        <v>2021</v>
      </c>
      <c r="H137" s="2" t="s">
        <v>435</v>
      </c>
      <c r="I137" s="2" t="s">
        <v>436</v>
      </c>
      <c r="J137" s="2" t="s">
        <v>437</v>
      </c>
      <c r="L137">
        <f t="shared" si="12"/>
        <v>1628838.04</v>
      </c>
      <c r="M137" t="s">
        <v>20</v>
      </c>
      <c r="N137">
        <f t="shared" si="13"/>
        <v>1321202.98</v>
      </c>
      <c r="O137" t="s">
        <v>21</v>
      </c>
      <c r="P137">
        <f t="shared" si="14"/>
        <v>2015547.03</v>
      </c>
      <c r="Q137" t="s">
        <v>22</v>
      </c>
      <c r="R137" t="str">
        <f t="shared" si="15"/>
        <v>1628838.04（1321202.98,2015547.03)</v>
      </c>
    </row>
    <row r="138" hidden="1" spans="1:18">
      <c r="A138" t="s">
        <v>387</v>
      </c>
      <c r="B138" t="s">
        <v>121</v>
      </c>
      <c r="C138" t="s">
        <v>13</v>
      </c>
      <c r="D138" t="s">
        <v>14</v>
      </c>
      <c r="E138" t="s">
        <v>15</v>
      </c>
      <c r="F138" t="s">
        <v>23</v>
      </c>
      <c r="G138">
        <v>2021</v>
      </c>
      <c r="H138">
        <v>143.7432485231</v>
      </c>
      <c r="I138" s="2" t="s">
        <v>438</v>
      </c>
      <c r="J138" s="2" t="s">
        <v>439</v>
      </c>
      <c r="L138">
        <f t="shared" si="12"/>
        <v>143.74</v>
      </c>
      <c r="M138" t="s">
        <v>20</v>
      </c>
      <c r="N138">
        <f t="shared" si="13"/>
        <v>116.59</v>
      </c>
      <c r="O138" t="s">
        <v>21</v>
      </c>
      <c r="P138">
        <f t="shared" si="14"/>
        <v>177.87</v>
      </c>
      <c r="Q138" t="s">
        <v>22</v>
      </c>
      <c r="R138" t="str">
        <f t="shared" si="15"/>
        <v>143.74（116.59,177.87)</v>
      </c>
    </row>
    <row r="139" hidden="1" spans="1:18">
      <c r="A139" t="s">
        <v>387</v>
      </c>
      <c r="B139" t="s">
        <v>121</v>
      </c>
      <c r="C139" t="s">
        <v>13</v>
      </c>
      <c r="D139" t="s">
        <v>27</v>
      </c>
      <c r="E139" t="s">
        <v>15</v>
      </c>
      <c r="F139" t="s">
        <v>23</v>
      </c>
      <c r="G139">
        <v>2021</v>
      </c>
      <c r="H139" s="2" t="s">
        <v>440</v>
      </c>
      <c r="I139" s="2" t="s">
        <v>441</v>
      </c>
      <c r="J139" s="2" t="s">
        <v>442</v>
      </c>
      <c r="L139">
        <f t="shared" si="12"/>
        <v>352.49</v>
      </c>
      <c r="M139" t="s">
        <v>20</v>
      </c>
      <c r="N139">
        <f t="shared" si="13"/>
        <v>281.97</v>
      </c>
      <c r="O139" t="s">
        <v>21</v>
      </c>
      <c r="P139">
        <f t="shared" si="14"/>
        <v>429.91</v>
      </c>
      <c r="Q139" t="s">
        <v>22</v>
      </c>
      <c r="R139" t="str">
        <f t="shared" si="15"/>
        <v>352.49（281.97,429.91)</v>
      </c>
    </row>
    <row r="140" hidden="1" spans="1:18">
      <c r="A140" t="s">
        <v>387</v>
      </c>
      <c r="B140" t="s">
        <v>31</v>
      </c>
      <c r="C140" t="s">
        <v>13</v>
      </c>
      <c r="D140" t="s">
        <v>14</v>
      </c>
      <c r="E140" t="s">
        <v>15</v>
      </c>
      <c r="F140" t="s">
        <v>16</v>
      </c>
      <c r="G140">
        <v>2021</v>
      </c>
      <c r="H140" s="2" t="s">
        <v>443</v>
      </c>
      <c r="I140" s="2" t="s">
        <v>444</v>
      </c>
      <c r="J140" s="2" t="s">
        <v>445</v>
      </c>
      <c r="L140">
        <f t="shared" si="12"/>
        <v>3989835.19</v>
      </c>
      <c r="M140" t="s">
        <v>20</v>
      </c>
      <c r="N140">
        <f t="shared" si="13"/>
        <v>3384023.96</v>
      </c>
      <c r="O140" t="s">
        <v>21</v>
      </c>
      <c r="P140">
        <f t="shared" si="14"/>
        <v>4709126.26</v>
      </c>
      <c r="Q140" t="s">
        <v>22</v>
      </c>
      <c r="R140" t="str">
        <f t="shared" si="15"/>
        <v>3989835.19（3384023.96,4709126.26)</v>
      </c>
    </row>
    <row r="141" hidden="1" spans="1:18">
      <c r="A141" t="s">
        <v>387</v>
      </c>
      <c r="B141" t="s">
        <v>31</v>
      </c>
      <c r="C141" t="s">
        <v>13</v>
      </c>
      <c r="D141" t="s">
        <v>14</v>
      </c>
      <c r="E141" t="s">
        <v>15</v>
      </c>
      <c r="F141" t="s">
        <v>23</v>
      </c>
      <c r="G141">
        <v>2021</v>
      </c>
      <c r="H141" s="2" t="s">
        <v>446</v>
      </c>
      <c r="I141" s="2" t="s">
        <v>447</v>
      </c>
      <c r="J141" s="2" t="s">
        <v>448</v>
      </c>
      <c r="L141">
        <f t="shared" si="12"/>
        <v>364.69</v>
      </c>
      <c r="M141" t="s">
        <v>20</v>
      </c>
      <c r="N141">
        <f t="shared" si="13"/>
        <v>309.31</v>
      </c>
      <c r="O141" t="s">
        <v>21</v>
      </c>
      <c r="P141">
        <f t="shared" si="14"/>
        <v>430.43</v>
      </c>
      <c r="Q141" t="s">
        <v>22</v>
      </c>
      <c r="R141" t="str">
        <f t="shared" si="15"/>
        <v>364.69（309.31,430.43)</v>
      </c>
    </row>
    <row r="142" hidden="1" spans="1:18">
      <c r="A142" t="s">
        <v>387</v>
      </c>
      <c r="B142" t="s">
        <v>31</v>
      </c>
      <c r="C142" t="s">
        <v>13</v>
      </c>
      <c r="D142" t="s">
        <v>27</v>
      </c>
      <c r="E142" t="s">
        <v>15</v>
      </c>
      <c r="F142" t="s">
        <v>23</v>
      </c>
      <c r="G142">
        <v>2021</v>
      </c>
      <c r="H142" s="2" t="s">
        <v>449</v>
      </c>
      <c r="I142" s="2" t="s">
        <v>450</v>
      </c>
      <c r="J142" s="2" t="s">
        <v>451</v>
      </c>
      <c r="L142">
        <f t="shared" si="12"/>
        <v>195.63</v>
      </c>
      <c r="M142" t="s">
        <v>20</v>
      </c>
      <c r="N142">
        <f t="shared" si="13"/>
        <v>164.52</v>
      </c>
      <c r="O142" t="s">
        <v>21</v>
      </c>
      <c r="P142">
        <f t="shared" si="14"/>
        <v>231.53</v>
      </c>
      <c r="Q142" t="s">
        <v>22</v>
      </c>
      <c r="R142" t="str">
        <f t="shared" si="15"/>
        <v>195.63（164.52,231.53)</v>
      </c>
    </row>
    <row r="143" hidden="1" spans="1:18">
      <c r="A143" t="s">
        <v>387</v>
      </c>
      <c r="B143" t="s">
        <v>61</v>
      </c>
      <c r="C143" t="s">
        <v>13</v>
      </c>
      <c r="D143" t="s">
        <v>14</v>
      </c>
      <c r="E143" t="s">
        <v>15</v>
      </c>
      <c r="F143" t="s">
        <v>16</v>
      </c>
      <c r="G143">
        <v>2021</v>
      </c>
      <c r="H143" s="2" t="s">
        <v>452</v>
      </c>
      <c r="I143" s="2" t="s">
        <v>453</v>
      </c>
      <c r="J143" s="2" t="s">
        <v>454</v>
      </c>
      <c r="L143">
        <f t="shared" si="12"/>
        <v>2190922.83</v>
      </c>
      <c r="M143" t="s">
        <v>20</v>
      </c>
      <c r="N143">
        <f t="shared" si="13"/>
        <v>1807960.13</v>
      </c>
      <c r="O143" t="s">
        <v>21</v>
      </c>
      <c r="P143">
        <f t="shared" si="14"/>
        <v>2673792.33</v>
      </c>
      <c r="Q143" t="s">
        <v>22</v>
      </c>
      <c r="R143" t="str">
        <f t="shared" si="15"/>
        <v>2190922.83（1807960.13,2673792.33)</v>
      </c>
    </row>
    <row r="144" hidden="1" spans="1:18">
      <c r="A144" t="s">
        <v>387</v>
      </c>
      <c r="B144" t="s">
        <v>61</v>
      </c>
      <c r="C144" t="s">
        <v>13</v>
      </c>
      <c r="D144" t="s">
        <v>14</v>
      </c>
      <c r="E144" t="s">
        <v>15</v>
      </c>
      <c r="F144" t="s">
        <v>23</v>
      </c>
      <c r="G144">
        <v>2021</v>
      </c>
      <c r="H144" s="2" t="s">
        <v>455</v>
      </c>
      <c r="I144" s="2" t="s">
        <v>456</v>
      </c>
      <c r="J144" s="2" t="s">
        <v>457</v>
      </c>
      <c r="L144">
        <f t="shared" si="12"/>
        <v>196.08</v>
      </c>
      <c r="M144" t="s">
        <v>20</v>
      </c>
      <c r="N144">
        <f t="shared" si="13"/>
        <v>161.8</v>
      </c>
      <c r="O144" t="s">
        <v>21</v>
      </c>
      <c r="P144">
        <f t="shared" si="14"/>
        <v>239.29</v>
      </c>
      <c r="Q144" t="s">
        <v>22</v>
      </c>
      <c r="R144" t="str">
        <f t="shared" si="15"/>
        <v>196.08（161.8,239.29)</v>
      </c>
    </row>
    <row r="145" hidden="1" spans="1:18">
      <c r="A145" t="s">
        <v>387</v>
      </c>
      <c r="B145" t="s">
        <v>61</v>
      </c>
      <c r="C145" t="s">
        <v>13</v>
      </c>
      <c r="D145" t="s">
        <v>27</v>
      </c>
      <c r="E145" t="s">
        <v>15</v>
      </c>
      <c r="F145" t="s">
        <v>23</v>
      </c>
      <c r="G145">
        <v>2021</v>
      </c>
      <c r="H145" s="2" t="s">
        <v>458</v>
      </c>
      <c r="I145" s="2" t="s">
        <v>459</v>
      </c>
      <c r="J145">
        <v>537.7495404539</v>
      </c>
      <c r="L145">
        <f t="shared" si="12"/>
        <v>444.61</v>
      </c>
      <c r="M145" t="s">
        <v>20</v>
      </c>
      <c r="N145">
        <f t="shared" si="13"/>
        <v>362.9</v>
      </c>
      <c r="O145" t="s">
        <v>21</v>
      </c>
      <c r="P145">
        <f t="shared" si="14"/>
        <v>537.75</v>
      </c>
      <c r="Q145" t="s">
        <v>22</v>
      </c>
      <c r="R145" t="str">
        <f t="shared" si="15"/>
        <v>444.61（362.9,537.75)</v>
      </c>
    </row>
    <row r="146" hidden="1" spans="1:18">
      <c r="A146" t="s">
        <v>387</v>
      </c>
      <c r="B146" t="s">
        <v>41</v>
      </c>
      <c r="C146" t="s">
        <v>13</v>
      </c>
      <c r="D146" t="s">
        <v>14</v>
      </c>
      <c r="E146" t="s">
        <v>15</v>
      </c>
      <c r="F146" t="s">
        <v>16</v>
      </c>
      <c r="G146">
        <v>2021</v>
      </c>
      <c r="H146" s="2" t="s">
        <v>460</v>
      </c>
      <c r="I146" s="2" t="s">
        <v>461</v>
      </c>
      <c r="J146" s="2" t="s">
        <v>462</v>
      </c>
      <c r="L146">
        <f t="shared" si="12"/>
        <v>8437391.69</v>
      </c>
      <c r="M146" t="s">
        <v>20</v>
      </c>
      <c r="N146">
        <f t="shared" si="13"/>
        <v>6853498.85</v>
      </c>
      <c r="O146" t="s">
        <v>21</v>
      </c>
      <c r="P146">
        <f t="shared" si="14"/>
        <v>10223098.75</v>
      </c>
      <c r="Q146" t="s">
        <v>22</v>
      </c>
      <c r="R146" t="str">
        <f t="shared" si="15"/>
        <v>8437391.69（6853498.85,10223098.75)</v>
      </c>
    </row>
    <row r="147" hidden="1" spans="1:18">
      <c r="A147" t="s">
        <v>387</v>
      </c>
      <c r="B147" t="s">
        <v>41</v>
      </c>
      <c r="C147" t="s">
        <v>13</v>
      </c>
      <c r="D147" t="s">
        <v>14</v>
      </c>
      <c r="E147" t="s">
        <v>15</v>
      </c>
      <c r="F147" t="s">
        <v>23</v>
      </c>
      <c r="G147">
        <v>2021</v>
      </c>
      <c r="H147" s="2" t="s">
        <v>463</v>
      </c>
      <c r="I147" s="2" t="s">
        <v>464</v>
      </c>
      <c r="J147" s="2" t="s">
        <v>465</v>
      </c>
      <c r="L147">
        <f t="shared" si="12"/>
        <v>456.92</v>
      </c>
      <c r="M147" t="s">
        <v>20</v>
      </c>
      <c r="N147">
        <f t="shared" si="13"/>
        <v>371.15</v>
      </c>
      <c r="O147" t="s">
        <v>21</v>
      </c>
      <c r="P147">
        <f t="shared" si="14"/>
        <v>553.63</v>
      </c>
      <c r="Q147" t="s">
        <v>22</v>
      </c>
      <c r="R147" t="str">
        <f t="shared" si="15"/>
        <v>456.92（371.15,553.63)</v>
      </c>
    </row>
    <row r="148" hidden="1" spans="1:18">
      <c r="A148" t="s">
        <v>387</v>
      </c>
      <c r="B148" t="s">
        <v>41</v>
      </c>
      <c r="C148" t="s">
        <v>13</v>
      </c>
      <c r="D148" t="s">
        <v>27</v>
      </c>
      <c r="E148" t="s">
        <v>15</v>
      </c>
      <c r="F148" t="s">
        <v>23</v>
      </c>
      <c r="G148">
        <v>2021</v>
      </c>
      <c r="H148" s="2" t="s">
        <v>466</v>
      </c>
      <c r="I148" s="2" t="s">
        <v>467</v>
      </c>
      <c r="J148" s="2" t="s">
        <v>468</v>
      </c>
      <c r="L148">
        <f t="shared" si="12"/>
        <v>580.24</v>
      </c>
      <c r="M148" t="s">
        <v>20</v>
      </c>
      <c r="N148">
        <f t="shared" si="13"/>
        <v>472.94</v>
      </c>
      <c r="O148" t="s">
        <v>21</v>
      </c>
      <c r="P148">
        <f t="shared" si="14"/>
        <v>704.59</v>
      </c>
      <c r="Q148" t="s">
        <v>22</v>
      </c>
      <c r="R148" t="str">
        <f t="shared" si="15"/>
        <v>580.24（472.94,704.59)</v>
      </c>
    </row>
    <row r="149" hidden="1" spans="1:18">
      <c r="A149" t="s">
        <v>387</v>
      </c>
      <c r="B149" t="s">
        <v>131</v>
      </c>
      <c r="C149" t="s">
        <v>13</v>
      </c>
      <c r="D149" t="s">
        <v>14</v>
      </c>
      <c r="E149" t="s">
        <v>15</v>
      </c>
      <c r="F149" t="s">
        <v>16</v>
      </c>
      <c r="G149">
        <v>2021</v>
      </c>
      <c r="H149" s="2" t="s">
        <v>469</v>
      </c>
      <c r="I149" s="2" t="s">
        <v>470</v>
      </c>
      <c r="J149" s="2" t="s">
        <v>471</v>
      </c>
      <c r="L149">
        <f t="shared" ref="L149:L157" si="16">ROUND(H149,2)</f>
        <v>7874112.39</v>
      </c>
      <c r="M149" t="s">
        <v>20</v>
      </c>
      <c r="N149">
        <f t="shared" ref="N149:N157" si="17">ROUND(I149,2)</f>
        <v>6457244.15</v>
      </c>
      <c r="O149" t="s">
        <v>21</v>
      </c>
      <c r="P149">
        <f t="shared" ref="P149:P157" si="18">ROUND(J149,2)</f>
        <v>9448767.95</v>
      </c>
      <c r="Q149" t="s">
        <v>22</v>
      </c>
      <c r="R149" t="str">
        <f t="shared" ref="R149:R157" si="19">L149&amp;M149&amp;N149&amp;O149&amp;P149&amp;Q149</f>
        <v>7874112.39（6457244.15,9448767.95)</v>
      </c>
    </row>
    <row r="150" hidden="1" spans="1:18">
      <c r="A150" t="s">
        <v>387</v>
      </c>
      <c r="B150" t="s">
        <v>131</v>
      </c>
      <c r="C150" t="s">
        <v>13</v>
      </c>
      <c r="D150" t="s">
        <v>14</v>
      </c>
      <c r="E150" t="s">
        <v>15</v>
      </c>
      <c r="F150" t="s">
        <v>23</v>
      </c>
      <c r="G150">
        <v>2021</v>
      </c>
      <c r="H150" s="2" t="s">
        <v>472</v>
      </c>
      <c r="I150" s="2" t="s">
        <v>473</v>
      </c>
      <c r="J150" s="2" t="s">
        <v>474</v>
      </c>
      <c r="L150">
        <f t="shared" si="16"/>
        <v>603.83</v>
      </c>
      <c r="M150" t="s">
        <v>20</v>
      </c>
      <c r="N150">
        <f t="shared" si="17"/>
        <v>495.18</v>
      </c>
      <c r="O150" t="s">
        <v>21</v>
      </c>
      <c r="P150">
        <f t="shared" si="18"/>
        <v>724.58</v>
      </c>
      <c r="Q150" t="s">
        <v>22</v>
      </c>
      <c r="R150" t="str">
        <f t="shared" si="19"/>
        <v>603.83（495.18,724.58)</v>
      </c>
    </row>
    <row r="151" hidden="1" spans="1:18">
      <c r="A151" t="s">
        <v>387</v>
      </c>
      <c r="B151" t="s">
        <v>131</v>
      </c>
      <c r="C151" t="s">
        <v>13</v>
      </c>
      <c r="D151" t="s">
        <v>27</v>
      </c>
      <c r="E151" t="s">
        <v>15</v>
      </c>
      <c r="F151" t="s">
        <v>23</v>
      </c>
      <c r="G151">
        <v>2021</v>
      </c>
      <c r="H151" s="2" t="s">
        <v>475</v>
      </c>
      <c r="I151" s="2" t="s">
        <v>476</v>
      </c>
      <c r="J151" s="2" t="s">
        <v>477</v>
      </c>
      <c r="L151">
        <f t="shared" si="16"/>
        <v>404.44</v>
      </c>
      <c r="M151" t="s">
        <v>20</v>
      </c>
      <c r="N151">
        <f t="shared" si="17"/>
        <v>331.92</v>
      </c>
      <c r="O151" t="s">
        <v>21</v>
      </c>
      <c r="P151">
        <f t="shared" si="18"/>
        <v>480.98</v>
      </c>
      <c r="Q151" t="s">
        <v>22</v>
      </c>
      <c r="R151" t="str">
        <f t="shared" si="19"/>
        <v>404.44（331.92,480.98)</v>
      </c>
    </row>
    <row r="152" hidden="1" spans="1:18">
      <c r="A152" t="s">
        <v>387</v>
      </c>
      <c r="B152" t="s">
        <v>71</v>
      </c>
      <c r="C152" t="s">
        <v>13</v>
      </c>
      <c r="D152" t="s">
        <v>14</v>
      </c>
      <c r="E152" t="s">
        <v>15</v>
      </c>
      <c r="F152" t="s">
        <v>16</v>
      </c>
      <c r="G152">
        <v>2021</v>
      </c>
      <c r="H152" s="2" t="s">
        <v>478</v>
      </c>
      <c r="I152" s="2" t="s">
        <v>479</v>
      </c>
      <c r="J152" s="2" t="s">
        <v>480</v>
      </c>
      <c r="L152">
        <f t="shared" si="16"/>
        <v>10499399.86</v>
      </c>
      <c r="M152" t="s">
        <v>20</v>
      </c>
      <c r="N152">
        <f t="shared" si="17"/>
        <v>8567480.07</v>
      </c>
      <c r="O152" t="s">
        <v>21</v>
      </c>
      <c r="P152">
        <f t="shared" si="18"/>
        <v>12702596.07</v>
      </c>
      <c r="Q152" t="s">
        <v>22</v>
      </c>
      <c r="R152" t="str">
        <f t="shared" si="19"/>
        <v>10499399.86（8567480.07,12702596.07)</v>
      </c>
    </row>
    <row r="153" hidden="1" spans="1:18">
      <c r="A153" t="s">
        <v>387</v>
      </c>
      <c r="B153" t="s">
        <v>71</v>
      </c>
      <c r="C153" t="s">
        <v>13</v>
      </c>
      <c r="D153" t="s">
        <v>14</v>
      </c>
      <c r="E153" t="s">
        <v>15</v>
      </c>
      <c r="F153" t="s">
        <v>23</v>
      </c>
      <c r="G153">
        <v>2021</v>
      </c>
      <c r="H153" s="2" t="s">
        <v>481</v>
      </c>
      <c r="I153" s="2" t="s">
        <v>482</v>
      </c>
      <c r="J153" s="2" t="s">
        <v>483</v>
      </c>
      <c r="L153">
        <f t="shared" si="16"/>
        <v>428.8</v>
      </c>
      <c r="M153" t="s">
        <v>20</v>
      </c>
      <c r="N153">
        <f t="shared" si="17"/>
        <v>349.9</v>
      </c>
      <c r="O153" t="s">
        <v>21</v>
      </c>
      <c r="P153">
        <f t="shared" si="18"/>
        <v>518.78</v>
      </c>
      <c r="Q153" t="s">
        <v>22</v>
      </c>
      <c r="R153" t="str">
        <f t="shared" si="19"/>
        <v>428.8（349.9,518.78)</v>
      </c>
    </row>
    <row r="154" hidden="1" spans="1:18">
      <c r="A154" t="s">
        <v>387</v>
      </c>
      <c r="B154" t="s">
        <v>71</v>
      </c>
      <c r="C154" t="s">
        <v>13</v>
      </c>
      <c r="D154" t="s">
        <v>27</v>
      </c>
      <c r="E154" t="s">
        <v>15</v>
      </c>
      <c r="F154" t="s">
        <v>23</v>
      </c>
      <c r="G154">
        <v>2021</v>
      </c>
      <c r="H154" s="2" t="s">
        <v>484</v>
      </c>
      <c r="I154" s="2" t="s">
        <v>485</v>
      </c>
      <c r="J154" s="2" t="s">
        <v>486</v>
      </c>
      <c r="L154">
        <f t="shared" si="16"/>
        <v>403.84</v>
      </c>
      <c r="M154" t="s">
        <v>20</v>
      </c>
      <c r="N154">
        <f t="shared" si="17"/>
        <v>330.37</v>
      </c>
      <c r="O154" t="s">
        <v>21</v>
      </c>
      <c r="P154">
        <f t="shared" si="18"/>
        <v>481.69</v>
      </c>
      <c r="Q154" t="s">
        <v>22</v>
      </c>
      <c r="R154" t="str">
        <f t="shared" si="19"/>
        <v>403.84（330.37,481.69)</v>
      </c>
    </row>
    <row r="155" hidden="1" spans="1:18">
      <c r="A155" t="s">
        <v>387</v>
      </c>
      <c r="B155" t="s">
        <v>51</v>
      </c>
      <c r="C155" t="s">
        <v>13</v>
      </c>
      <c r="D155" t="s">
        <v>14</v>
      </c>
      <c r="E155" t="s">
        <v>15</v>
      </c>
      <c r="F155" t="s">
        <v>16</v>
      </c>
      <c r="G155">
        <v>2021</v>
      </c>
      <c r="H155" s="2" t="s">
        <v>487</v>
      </c>
      <c r="I155" s="2" t="s">
        <v>488</v>
      </c>
      <c r="J155" s="2" t="s">
        <v>489</v>
      </c>
      <c r="L155">
        <f t="shared" si="16"/>
        <v>7292860.05</v>
      </c>
      <c r="M155" t="s">
        <v>20</v>
      </c>
      <c r="N155">
        <f t="shared" si="17"/>
        <v>6121118.78</v>
      </c>
      <c r="O155" t="s">
        <v>21</v>
      </c>
      <c r="P155">
        <f t="shared" si="18"/>
        <v>8702139.94</v>
      </c>
      <c r="Q155" t="s">
        <v>22</v>
      </c>
      <c r="R155" t="str">
        <f t="shared" si="19"/>
        <v>7292860.05（6121118.78,8702139.94)</v>
      </c>
    </row>
    <row r="156" hidden="1" spans="1:18">
      <c r="A156" t="s">
        <v>387</v>
      </c>
      <c r="B156" t="s">
        <v>51</v>
      </c>
      <c r="C156" t="s">
        <v>13</v>
      </c>
      <c r="D156" t="s">
        <v>14</v>
      </c>
      <c r="E156" t="s">
        <v>15</v>
      </c>
      <c r="F156" t="s">
        <v>23</v>
      </c>
      <c r="G156">
        <v>2021</v>
      </c>
      <c r="H156" s="2" t="s">
        <v>490</v>
      </c>
      <c r="I156" s="2" t="s">
        <v>491</v>
      </c>
      <c r="J156" s="2" t="s">
        <v>492</v>
      </c>
      <c r="L156">
        <f t="shared" si="16"/>
        <v>379.62</v>
      </c>
      <c r="M156" t="s">
        <v>20</v>
      </c>
      <c r="N156">
        <f t="shared" si="17"/>
        <v>318.62</v>
      </c>
      <c r="O156" t="s">
        <v>21</v>
      </c>
      <c r="P156">
        <f t="shared" si="18"/>
        <v>452.97</v>
      </c>
      <c r="Q156" t="s">
        <v>22</v>
      </c>
      <c r="R156" t="str">
        <f t="shared" si="19"/>
        <v>379.62（318.62,452.97)</v>
      </c>
    </row>
    <row r="157" hidden="1" spans="1:18">
      <c r="A157" t="s">
        <v>387</v>
      </c>
      <c r="B157" t="s">
        <v>51</v>
      </c>
      <c r="C157" t="s">
        <v>13</v>
      </c>
      <c r="D157" t="s">
        <v>27</v>
      </c>
      <c r="E157" t="s">
        <v>15</v>
      </c>
      <c r="F157" t="s">
        <v>23</v>
      </c>
      <c r="G157">
        <v>2021</v>
      </c>
      <c r="H157" s="2" t="s">
        <v>493</v>
      </c>
      <c r="I157" s="2" t="s">
        <v>494</v>
      </c>
      <c r="J157" s="2" t="s">
        <v>495</v>
      </c>
      <c r="L157">
        <f t="shared" si="16"/>
        <v>515.6</v>
      </c>
      <c r="M157" t="s">
        <v>20</v>
      </c>
      <c r="N157">
        <f t="shared" si="17"/>
        <v>433.64</v>
      </c>
      <c r="O157" t="s">
        <v>21</v>
      </c>
      <c r="P157">
        <f t="shared" si="18"/>
        <v>614.95</v>
      </c>
      <c r="Q157" t="s">
        <v>22</v>
      </c>
      <c r="R157" t="str">
        <f t="shared" si="19"/>
        <v>515.6（433.64,614.95)</v>
      </c>
    </row>
  </sheetData>
  <autoFilter xmlns:etc="http://www.wps.cn/officeDocument/2017/etCustomData" ref="A1:R157" etc:filterBottomFollowUsedRange="0">
    <filterColumn colId="0">
      <customFilters>
        <customFilter operator="equal" val="DALYs (Disability-Adjusted Life Years)"/>
      </customFilters>
    </filterColumn>
    <filterColumn colId="3">
      <customFilters>
        <customFilter operator="equal" val="All ages"/>
      </customFilters>
    </filterColumn>
    <filterColumn colId="5">
      <customFilters>
        <customFilter operator="equal" val="Number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1" sqref="B1:D14"/>
    </sheetView>
  </sheetViews>
  <sheetFormatPr defaultColWidth="8.72727272727273" defaultRowHeight="14" outlineLevelCol="3"/>
  <cols>
    <col min="1" max="1" width="49.1818181818182" customWidth="1"/>
    <col min="2" max="2" width="40.0909090909091" customWidth="1"/>
    <col min="3" max="3" width="26.7272727272727" customWidth="1"/>
    <col min="4" max="4" width="22.2727272727273" customWidth="1"/>
  </cols>
  <sheetData>
    <row r="1" spans="1:4">
      <c r="A1" t="s">
        <v>1</v>
      </c>
      <c r="B1" t="s">
        <v>496</v>
      </c>
      <c r="C1" t="s">
        <v>497</v>
      </c>
      <c r="D1" t="s">
        <v>498</v>
      </c>
    </row>
    <row r="2" spans="1:4">
      <c r="A2" t="s">
        <v>101</v>
      </c>
      <c r="B2" t="s">
        <v>499</v>
      </c>
      <c r="C2" t="s">
        <v>500</v>
      </c>
      <c r="D2" t="s">
        <v>501</v>
      </c>
    </row>
    <row r="3" spans="1:4">
      <c r="A3" t="s">
        <v>31</v>
      </c>
      <c r="B3" t="s">
        <v>502</v>
      </c>
      <c r="C3" t="s">
        <v>503</v>
      </c>
      <c r="D3" t="s">
        <v>504</v>
      </c>
    </row>
    <row r="4" spans="1:4">
      <c r="A4" t="s">
        <v>131</v>
      </c>
      <c r="B4" t="s">
        <v>505</v>
      </c>
      <c r="C4" t="s">
        <v>506</v>
      </c>
      <c r="D4" t="s">
        <v>507</v>
      </c>
    </row>
    <row r="5" spans="1:4">
      <c r="A5" t="s">
        <v>71</v>
      </c>
      <c r="B5" t="s">
        <v>508</v>
      </c>
      <c r="C5" t="s">
        <v>509</v>
      </c>
      <c r="D5" t="s">
        <v>510</v>
      </c>
    </row>
    <row r="6" spans="1:4">
      <c r="A6" t="s">
        <v>51</v>
      </c>
      <c r="B6" t="s">
        <v>511</v>
      </c>
      <c r="C6" t="s">
        <v>512</v>
      </c>
      <c r="D6" t="s">
        <v>513</v>
      </c>
    </row>
    <row r="7" spans="1:4">
      <c r="A7" t="s">
        <v>61</v>
      </c>
      <c r="B7" t="s">
        <v>514</v>
      </c>
      <c r="C7" t="s">
        <v>515</v>
      </c>
      <c r="D7" t="s">
        <v>516</v>
      </c>
    </row>
    <row r="8" spans="1:4">
      <c r="A8" t="s">
        <v>81</v>
      </c>
      <c r="B8" t="s">
        <v>517</v>
      </c>
      <c r="C8" t="s">
        <v>518</v>
      </c>
      <c r="D8" t="s">
        <v>519</v>
      </c>
    </row>
    <row r="9" spans="1:4">
      <c r="A9" t="s">
        <v>12</v>
      </c>
      <c r="B9" t="s">
        <v>520</v>
      </c>
      <c r="C9" t="s">
        <v>521</v>
      </c>
      <c r="D9" t="s">
        <v>522</v>
      </c>
    </row>
    <row r="10" spans="1:4">
      <c r="A10" t="s">
        <v>141</v>
      </c>
      <c r="B10" t="s">
        <v>523</v>
      </c>
      <c r="C10" t="s">
        <v>524</v>
      </c>
      <c r="D10" t="s">
        <v>525</v>
      </c>
    </row>
    <row r="11" spans="1:4">
      <c r="A11" t="s">
        <v>41</v>
      </c>
      <c r="B11" t="s">
        <v>526</v>
      </c>
      <c r="C11" t="s">
        <v>527</v>
      </c>
      <c r="D11" t="s">
        <v>528</v>
      </c>
    </row>
    <row r="12" spans="1:4">
      <c r="A12" t="s">
        <v>121</v>
      </c>
      <c r="B12" t="s">
        <v>529</v>
      </c>
      <c r="C12" t="s">
        <v>530</v>
      </c>
      <c r="D12" t="s">
        <v>531</v>
      </c>
    </row>
    <row r="13" spans="1:4">
      <c r="A13" t="s">
        <v>91</v>
      </c>
      <c r="B13" t="s">
        <v>532</v>
      </c>
      <c r="C13" t="s">
        <v>533</v>
      </c>
      <c r="D13" t="s">
        <v>534</v>
      </c>
    </row>
    <row r="14" spans="1:4">
      <c r="A14" t="s">
        <v>111</v>
      </c>
      <c r="B14" t="s">
        <v>535</v>
      </c>
      <c r="C14" t="s">
        <v>536</v>
      </c>
      <c r="D14" t="s">
        <v>537</v>
      </c>
    </row>
  </sheetData>
  <sortState ref="A2:D14">
    <sortCondition ref="A2:A14" customList="Global,High SDI,High-middle SDI,Middle SDI,Low-middle SDI,Low SDI,High-income,North Africa and Middle East,Latin America and Caribbean,South Asia,Southeast Asia, East Asia, and Oceania,Central Europe, Eastern Europe, and Central Asia,Sub-Saharan Africa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1" sqref="B1:D14"/>
    </sheetView>
  </sheetViews>
  <sheetFormatPr defaultColWidth="8.72727272727273" defaultRowHeight="14" outlineLevelCol="3"/>
  <cols>
    <col min="1" max="1" width="50.4545454545455" customWidth="1"/>
    <col min="2" max="2" width="42.8181818181818" customWidth="1"/>
    <col min="3" max="3" width="27.1818181818182" customWidth="1"/>
    <col min="4" max="4" width="26.2727272727273" customWidth="1"/>
  </cols>
  <sheetData>
    <row r="1" spans="1:4">
      <c r="A1" t="s">
        <v>1</v>
      </c>
      <c r="B1" t="s">
        <v>496</v>
      </c>
      <c r="C1" t="s">
        <v>497</v>
      </c>
      <c r="D1" t="s">
        <v>498</v>
      </c>
    </row>
    <row r="2" spans="1:4">
      <c r="A2" t="s">
        <v>101</v>
      </c>
      <c r="B2" t="s">
        <v>538</v>
      </c>
      <c r="C2" t="s">
        <v>539</v>
      </c>
      <c r="D2" t="s">
        <v>540</v>
      </c>
    </row>
    <row r="3" spans="1:4">
      <c r="A3" t="s">
        <v>31</v>
      </c>
      <c r="B3" t="s">
        <v>541</v>
      </c>
      <c r="C3" t="s">
        <v>542</v>
      </c>
      <c r="D3" t="s">
        <v>543</v>
      </c>
    </row>
    <row r="4" spans="1:4">
      <c r="A4" t="s">
        <v>131</v>
      </c>
      <c r="B4" t="s">
        <v>544</v>
      </c>
      <c r="C4" t="s">
        <v>545</v>
      </c>
      <c r="D4" t="s">
        <v>546</v>
      </c>
    </row>
    <row r="5" spans="1:4">
      <c r="A5" t="s">
        <v>71</v>
      </c>
      <c r="B5" t="s">
        <v>547</v>
      </c>
      <c r="C5" t="s">
        <v>548</v>
      </c>
      <c r="D5" t="s">
        <v>549</v>
      </c>
    </row>
    <row r="6" spans="1:4">
      <c r="A6" t="s">
        <v>51</v>
      </c>
      <c r="B6" t="s">
        <v>550</v>
      </c>
      <c r="C6" t="s">
        <v>551</v>
      </c>
      <c r="D6" t="s">
        <v>552</v>
      </c>
    </row>
    <row r="7" spans="1:4">
      <c r="A7" t="s">
        <v>61</v>
      </c>
      <c r="B7" t="s">
        <v>553</v>
      </c>
      <c r="C7" t="s">
        <v>554</v>
      </c>
      <c r="D7" t="s">
        <v>555</v>
      </c>
    </row>
    <row r="8" spans="1:4">
      <c r="A8" t="s">
        <v>81</v>
      </c>
      <c r="B8" t="s">
        <v>556</v>
      </c>
      <c r="C8" t="s">
        <v>557</v>
      </c>
      <c r="D8" t="s">
        <v>558</v>
      </c>
    </row>
    <row r="9" spans="1:4">
      <c r="A9" t="s">
        <v>12</v>
      </c>
      <c r="B9" t="s">
        <v>559</v>
      </c>
      <c r="C9" t="s">
        <v>560</v>
      </c>
      <c r="D9" t="s">
        <v>561</v>
      </c>
    </row>
    <row r="10" spans="1:4">
      <c r="A10" t="s">
        <v>141</v>
      </c>
      <c r="B10" t="s">
        <v>562</v>
      </c>
      <c r="C10" t="s">
        <v>563</v>
      </c>
      <c r="D10" t="s">
        <v>564</v>
      </c>
    </row>
    <row r="11" spans="1:4">
      <c r="A11" t="s">
        <v>41</v>
      </c>
      <c r="B11" t="s">
        <v>565</v>
      </c>
      <c r="C11" t="s">
        <v>566</v>
      </c>
      <c r="D11" t="s">
        <v>567</v>
      </c>
    </row>
    <row r="12" spans="1:4">
      <c r="A12" t="s">
        <v>121</v>
      </c>
      <c r="B12" t="s">
        <v>568</v>
      </c>
      <c r="C12" t="s">
        <v>569</v>
      </c>
      <c r="D12" t="s">
        <v>570</v>
      </c>
    </row>
    <row r="13" spans="1:4">
      <c r="A13" t="s">
        <v>91</v>
      </c>
      <c r="B13" t="s">
        <v>571</v>
      </c>
      <c r="C13" t="s">
        <v>572</v>
      </c>
      <c r="D13" t="s">
        <v>573</v>
      </c>
    </row>
    <row r="14" spans="1:4">
      <c r="A14" t="s">
        <v>111</v>
      </c>
      <c r="B14" t="s">
        <v>574</v>
      </c>
      <c r="C14" t="s">
        <v>575</v>
      </c>
      <c r="D14" t="s">
        <v>576</v>
      </c>
    </row>
  </sheetData>
  <sortState ref="A2:D14">
    <sortCondition ref="A2:A14" customList="Global,High SDI,High-middle SDI,Middle SDI,Low-middle SDI,Low SDI,High-income,North Africa and Middle East,Latin America and Caribbean,South Asia,Southeast Asia, East Asia, and Oceania,Central Europe, Eastern Europe, and Central Asia,Sub-Saharan Africa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1" sqref="B1:D14"/>
    </sheetView>
  </sheetViews>
  <sheetFormatPr defaultColWidth="8.72727272727273" defaultRowHeight="14" outlineLevelCol="3"/>
  <cols>
    <col min="1" max="1" width="57.0909090909091" customWidth="1"/>
    <col min="2" max="2" width="42.2727272727273" customWidth="1"/>
    <col min="3" max="3" width="26.0909090909091" customWidth="1"/>
    <col min="4" max="4" width="20.2727272727273" customWidth="1"/>
  </cols>
  <sheetData>
    <row r="1" spans="1:4">
      <c r="A1" t="s">
        <v>1</v>
      </c>
      <c r="B1" t="s">
        <v>496</v>
      </c>
      <c r="C1" t="s">
        <v>497</v>
      </c>
      <c r="D1" t="s">
        <v>498</v>
      </c>
    </row>
    <row r="2" spans="1:4">
      <c r="A2" t="s">
        <v>101</v>
      </c>
      <c r="B2" t="s">
        <v>577</v>
      </c>
      <c r="C2" t="s">
        <v>578</v>
      </c>
      <c r="D2" t="s">
        <v>579</v>
      </c>
    </row>
    <row r="3" spans="1:4">
      <c r="A3" t="s">
        <v>31</v>
      </c>
      <c r="B3" t="s">
        <v>580</v>
      </c>
      <c r="C3" t="s">
        <v>581</v>
      </c>
      <c r="D3" t="s">
        <v>582</v>
      </c>
    </row>
    <row r="4" spans="1:4">
      <c r="A4" t="s">
        <v>131</v>
      </c>
      <c r="B4" t="s">
        <v>583</v>
      </c>
      <c r="C4" t="s">
        <v>584</v>
      </c>
      <c r="D4" t="s">
        <v>585</v>
      </c>
    </row>
    <row r="5" spans="1:4">
      <c r="A5" t="s">
        <v>71</v>
      </c>
      <c r="B5" t="s">
        <v>586</v>
      </c>
      <c r="C5" t="s">
        <v>587</v>
      </c>
      <c r="D5" t="s">
        <v>588</v>
      </c>
    </row>
    <row r="6" spans="1:4">
      <c r="A6" t="s">
        <v>51</v>
      </c>
      <c r="B6" t="s">
        <v>589</v>
      </c>
      <c r="C6" t="s">
        <v>590</v>
      </c>
      <c r="D6" t="s">
        <v>591</v>
      </c>
    </row>
    <row r="7" spans="1:4">
      <c r="A7" t="s">
        <v>61</v>
      </c>
      <c r="B7" t="s">
        <v>592</v>
      </c>
      <c r="C7" t="s">
        <v>593</v>
      </c>
      <c r="D7" t="s">
        <v>594</v>
      </c>
    </row>
    <row r="8" spans="1:4">
      <c r="A8" t="s">
        <v>81</v>
      </c>
      <c r="B8" t="s">
        <v>595</v>
      </c>
      <c r="C8" t="s">
        <v>596</v>
      </c>
      <c r="D8" t="s">
        <v>597</v>
      </c>
    </row>
    <row r="9" spans="1:4">
      <c r="A9" t="s">
        <v>12</v>
      </c>
      <c r="B9" t="s">
        <v>598</v>
      </c>
      <c r="C9" t="s">
        <v>599</v>
      </c>
      <c r="D9" t="s">
        <v>600</v>
      </c>
    </row>
    <row r="10" spans="1:4">
      <c r="A10" t="s">
        <v>141</v>
      </c>
      <c r="B10" t="s">
        <v>601</v>
      </c>
      <c r="C10" t="s">
        <v>602</v>
      </c>
      <c r="D10" t="s">
        <v>603</v>
      </c>
    </row>
    <row r="11" spans="1:4">
      <c r="A11" t="s">
        <v>41</v>
      </c>
      <c r="B11" t="s">
        <v>604</v>
      </c>
      <c r="C11" t="s">
        <v>605</v>
      </c>
      <c r="D11" t="s">
        <v>606</v>
      </c>
    </row>
    <row r="12" spans="1:4">
      <c r="A12" t="s">
        <v>121</v>
      </c>
      <c r="B12" t="s">
        <v>607</v>
      </c>
      <c r="C12" t="s">
        <v>608</v>
      </c>
      <c r="D12" t="s">
        <v>609</v>
      </c>
    </row>
    <row r="13" spans="1:4">
      <c r="A13" t="s">
        <v>91</v>
      </c>
      <c r="B13" t="s">
        <v>610</v>
      </c>
      <c r="C13" t="s">
        <v>611</v>
      </c>
      <c r="D13" t="s">
        <v>612</v>
      </c>
    </row>
    <row r="14" spans="1:4">
      <c r="A14" t="s">
        <v>111</v>
      </c>
      <c r="B14" t="s">
        <v>613</v>
      </c>
      <c r="C14" t="s">
        <v>614</v>
      </c>
      <c r="D14" t="s">
        <v>615</v>
      </c>
    </row>
  </sheetData>
  <sortState ref="A2:D14">
    <sortCondition ref="A2:A14" customList="Global,High SDI,High-middle SDI,Middle SDI,Low-middle SDI,Low SDI,High-income,North Africa and Middle East,Latin America and Caribbean,South Asia,Southeast Asia, East Asia, and Oceania,Central Europe, Eastern Europe, and Central Asia,Sub-Saharan Africa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C3" sqref="C3"/>
    </sheetView>
  </sheetViews>
  <sheetFormatPr defaultColWidth="8.72727272727273" defaultRowHeight="14" outlineLevelCol="3"/>
  <cols>
    <col min="1" max="1" width="50.8181818181818" customWidth="1"/>
    <col min="2" max="2" width="42.6363636363636" customWidth="1"/>
    <col min="3" max="3" width="27.2727272727273" customWidth="1"/>
    <col min="4" max="4" width="25.0909090909091" customWidth="1"/>
  </cols>
  <sheetData>
    <row r="1" spans="1:4">
      <c r="A1" t="s">
        <v>1</v>
      </c>
      <c r="B1" t="s">
        <v>496</v>
      </c>
      <c r="C1" t="s">
        <v>497</v>
      </c>
      <c r="D1" t="s">
        <v>498</v>
      </c>
    </row>
    <row r="2" spans="1:4">
      <c r="A2" t="s">
        <v>101</v>
      </c>
      <c r="B2" t="s">
        <v>616</v>
      </c>
      <c r="C2" t="s">
        <v>617</v>
      </c>
      <c r="D2" t="s">
        <v>618</v>
      </c>
    </row>
    <row r="3" spans="1:4">
      <c r="A3" t="s">
        <v>31</v>
      </c>
      <c r="B3" t="s">
        <v>619</v>
      </c>
      <c r="C3" t="s">
        <v>620</v>
      </c>
      <c r="D3" t="s">
        <v>621</v>
      </c>
    </row>
    <row r="4" spans="1:4">
      <c r="A4" t="s">
        <v>131</v>
      </c>
      <c r="B4" t="s">
        <v>622</v>
      </c>
      <c r="C4" t="s">
        <v>623</v>
      </c>
      <c r="D4" t="s">
        <v>624</v>
      </c>
    </row>
    <row r="5" spans="1:4">
      <c r="A5" t="s">
        <v>71</v>
      </c>
      <c r="B5" t="s">
        <v>625</v>
      </c>
      <c r="C5" t="s">
        <v>626</v>
      </c>
      <c r="D5" t="s">
        <v>627</v>
      </c>
    </row>
    <row r="6" spans="1:4">
      <c r="A6" t="s">
        <v>51</v>
      </c>
      <c r="B6" t="s">
        <v>628</v>
      </c>
      <c r="C6" t="s">
        <v>629</v>
      </c>
      <c r="D6" t="s">
        <v>630</v>
      </c>
    </row>
    <row r="7" spans="1:4">
      <c r="A7" t="s">
        <v>61</v>
      </c>
      <c r="B7" t="s">
        <v>631</v>
      </c>
      <c r="C7" t="s">
        <v>632</v>
      </c>
      <c r="D7" t="s">
        <v>633</v>
      </c>
    </row>
    <row r="8" spans="1:4">
      <c r="A8" t="s">
        <v>81</v>
      </c>
      <c r="B8" t="s">
        <v>634</v>
      </c>
      <c r="C8" t="s">
        <v>635</v>
      </c>
      <c r="D8" t="s">
        <v>636</v>
      </c>
    </row>
    <row r="9" spans="1:4">
      <c r="A9" t="s">
        <v>12</v>
      </c>
      <c r="B9" t="s">
        <v>637</v>
      </c>
      <c r="C9" t="s">
        <v>638</v>
      </c>
      <c r="D9" t="s">
        <v>639</v>
      </c>
    </row>
    <row r="10" spans="1:4">
      <c r="A10" t="s">
        <v>141</v>
      </c>
      <c r="B10" t="s">
        <v>640</v>
      </c>
      <c r="C10" t="s">
        <v>641</v>
      </c>
      <c r="D10" t="s">
        <v>642</v>
      </c>
    </row>
    <row r="11" spans="1:4">
      <c r="A11" t="s">
        <v>41</v>
      </c>
      <c r="B11" t="s">
        <v>643</v>
      </c>
      <c r="C11" t="s">
        <v>644</v>
      </c>
      <c r="D11" t="s">
        <v>645</v>
      </c>
    </row>
    <row r="12" spans="1:4">
      <c r="A12" t="s">
        <v>121</v>
      </c>
      <c r="B12" t="s">
        <v>646</v>
      </c>
      <c r="C12" t="s">
        <v>647</v>
      </c>
      <c r="D12" t="s">
        <v>648</v>
      </c>
    </row>
    <row r="13" spans="1:4">
      <c r="A13" t="s">
        <v>91</v>
      </c>
      <c r="B13" t="s">
        <v>649</v>
      </c>
      <c r="C13" t="s">
        <v>650</v>
      </c>
      <c r="D13" t="s">
        <v>651</v>
      </c>
    </row>
    <row r="14" spans="1:4">
      <c r="A14" t="s">
        <v>111</v>
      </c>
      <c r="B14" t="s">
        <v>652</v>
      </c>
      <c r="C14" t="s">
        <v>653</v>
      </c>
      <c r="D14" t="s">
        <v>654</v>
      </c>
    </row>
  </sheetData>
  <sortState ref="A2:D14">
    <sortCondition ref="A2:A14" customList="Global,High SDI,High-middle SDI,Middle SDI,Low-middle SDI,Low SDI,High-income,North Africa and Middle East,Latin America and Caribbean,South Asia,Southeast Asia, East Asia, and Oceania,Central Europe, Eastern Europe, and Central Asia,Sub-Saharan Africa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opLeftCell="D1" workbookViewId="0">
      <selection activeCell="Q16" sqref="Q16:Q17"/>
    </sheetView>
  </sheetViews>
  <sheetFormatPr defaultColWidth="8.72727272727273" defaultRowHeight="14"/>
  <cols>
    <col min="8" max="11" width="12.8181818181818"/>
    <col min="13" max="13" width="12.8181818181818"/>
    <col min="15" max="15" width="12.8181818181818"/>
  </cols>
  <sheetData>
    <row r="1" spans="1:17">
      <c r="A1" s="1" t="s">
        <v>655</v>
      </c>
      <c r="B1" s="1" t="s">
        <v>656</v>
      </c>
      <c r="C1" s="1" t="s">
        <v>657</v>
      </c>
      <c r="D1" s="1" t="s">
        <v>658</v>
      </c>
      <c r="E1" s="1" t="s">
        <v>659</v>
      </c>
      <c r="F1" s="1" t="s">
        <v>660</v>
      </c>
      <c r="G1" s="1" t="s">
        <v>6</v>
      </c>
      <c r="H1" s="1" t="s">
        <v>7</v>
      </c>
      <c r="I1" s="1" t="s">
        <v>9</v>
      </c>
      <c r="J1" s="1" t="s">
        <v>8</v>
      </c>
      <c r="K1" s="1"/>
      <c r="Q1" t="s">
        <v>10</v>
      </c>
    </row>
    <row r="2" customFormat="1" spans="1:17">
      <c r="A2" s="1" t="s">
        <v>387</v>
      </c>
      <c r="B2" s="1" t="s">
        <v>101</v>
      </c>
      <c r="C2" s="1" t="s">
        <v>661</v>
      </c>
      <c r="D2" s="1" t="s">
        <v>14</v>
      </c>
      <c r="E2" s="1" t="s">
        <v>15</v>
      </c>
      <c r="F2" s="1" t="s">
        <v>16</v>
      </c>
      <c r="G2" s="1">
        <v>2021</v>
      </c>
      <c r="H2" s="1">
        <v>17961630.2563014</v>
      </c>
      <c r="I2" s="1">
        <v>21521548.2524258</v>
      </c>
      <c r="J2" s="1">
        <v>14860851.589918</v>
      </c>
      <c r="K2" s="1">
        <f>ROUND(H2,2)</f>
        <v>17961630.26</v>
      </c>
      <c r="L2" t="s">
        <v>20</v>
      </c>
      <c r="M2">
        <f>ROUND(J2,2)</f>
        <v>14860851.59</v>
      </c>
      <c r="N2" t="s">
        <v>21</v>
      </c>
      <c r="O2">
        <f>ROUND(I2,2)</f>
        <v>21521548.25</v>
      </c>
      <c r="P2" t="s">
        <v>22</v>
      </c>
      <c r="Q2" t="str">
        <f>K2&amp;L2&amp;M2&amp;N2&amp;O2&amp;P2</f>
        <v>17961630.26（14860851.59,21521548.25)</v>
      </c>
    </row>
    <row r="3" customFormat="1" spans="1:17">
      <c r="A3" s="1" t="s">
        <v>387</v>
      </c>
      <c r="B3" s="1" t="s">
        <v>101</v>
      </c>
      <c r="C3" s="1" t="s">
        <v>662</v>
      </c>
      <c r="D3" s="1" t="s">
        <v>14</v>
      </c>
      <c r="E3" s="1" t="s">
        <v>15</v>
      </c>
      <c r="F3" s="1" t="s">
        <v>16</v>
      </c>
      <c r="G3" s="1">
        <v>2021</v>
      </c>
      <c r="H3" s="1">
        <v>13911147.9228362</v>
      </c>
      <c r="I3" s="1">
        <v>16678573.7194539</v>
      </c>
      <c r="J3" s="1">
        <v>11446945.7256456</v>
      </c>
      <c r="K3" s="1">
        <f t="shared" ref="K3:K17" si="0">ROUND(H3,2)</f>
        <v>13911147.92</v>
      </c>
      <c r="L3" t="s">
        <v>20</v>
      </c>
      <c r="M3">
        <f t="shared" ref="M3:M17" si="1">ROUND(J3,2)</f>
        <v>11446945.73</v>
      </c>
      <c r="N3" t="s">
        <v>21</v>
      </c>
      <c r="O3">
        <f t="shared" ref="O3:O17" si="2">ROUND(I3,2)</f>
        <v>16678573.72</v>
      </c>
      <c r="P3" t="s">
        <v>22</v>
      </c>
      <c r="Q3" t="str">
        <f t="shared" ref="Q3:Q17" si="3">K3&amp;L3&amp;M3&amp;N3&amp;O3&amp;P3</f>
        <v>13911147.92（11446945.73,16678573.72)</v>
      </c>
    </row>
    <row r="4" s="1" customFormat="1" spans="1:17">
      <c r="A4" s="1" t="s">
        <v>387</v>
      </c>
      <c r="B4" s="1" t="s">
        <v>101</v>
      </c>
      <c r="C4" s="1" t="s">
        <v>661</v>
      </c>
      <c r="D4" s="1" t="s">
        <v>27</v>
      </c>
      <c r="E4" s="1" t="s">
        <v>15</v>
      </c>
      <c r="F4" s="1" t="s">
        <v>23</v>
      </c>
      <c r="G4" s="1">
        <v>2021</v>
      </c>
      <c r="H4" s="1">
        <v>450.39067551449</v>
      </c>
      <c r="I4" s="1">
        <v>534.62144726308</v>
      </c>
      <c r="J4" s="1">
        <v>373.66001717185</v>
      </c>
      <c r="K4" s="1">
        <f t="shared" si="0"/>
        <v>450.39</v>
      </c>
      <c r="L4" t="s">
        <v>20</v>
      </c>
      <c r="M4">
        <f t="shared" si="1"/>
        <v>373.66</v>
      </c>
      <c r="N4" t="s">
        <v>21</v>
      </c>
      <c r="O4">
        <f t="shared" si="2"/>
        <v>534.62</v>
      </c>
      <c r="P4" t="s">
        <v>22</v>
      </c>
      <c r="Q4" t="str">
        <f t="shared" si="3"/>
        <v>450.39（373.66,534.62)</v>
      </c>
    </row>
    <row r="5" s="1" customFormat="1" spans="1:17">
      <c r="A5" s="1" t="s">
        <v>387</v>
      </c>
      <c r="B5" s="1" t="s">
        <v>101</v>
      </c>
      <c r="C5" s="1" t="s">
        <v>662</v>
      </c>
      <c r="D5" s="1" t="s">
        <v>27</v>
      </c>
      <c r="E5" s="1" t="s">
        <v>15</v>
      </c>
      <c r="F5" s="1" t="s">
        <v>23</v>
      </c>
      <c r="G5" s="1">
        <v>2021</v>
      </c>
      <c r="H5" s="1">
        <v>301.56760282373</v>
      </c>
      <c r="I5" s="1">
        <v>360.72520298245</v>
      </c>
      <c r="J5" s="1">
        <v>248.57012290078</v>
      </c>
      <c r="K5" s="1">
        <f t="shared" si="0"/>
        <v>301.57</v>
      </c>
      <c r="L5" t="s">
        <v>20</v>
      </c>
      <c r="M5">
        <f t="shared" si="1"/>
        <v>248.57</v>
      </c>
      <c r="N5" t="s">
        <v>21</v>
      </c>
      <c r="O5">
        <f t="shared" si="2"/>
        <v>360.73</v>
      </c>
      <c r="P5" t="s">
        <v>22</v>
      </c>
      <c r="Q5" t="str">
        <f t="shared" si="3"/>
        <v>301.57（248.57,360.73)</v>
      </c>
    </row>
    <row r="6" s="1" customFormat="1" spans="1:17">
      <c r="A6" s="1" t="s">
        <v>269</v>
      </c>
      <c r="B6" s="1" t="s">
        <v>101</v>
      </c>
      <c r="C6" s="1" t="s">
        <v>661</v>
      </c>
      <c r="D6" s="1" t="s">
        <v>14</v>
      </c>
      <c r="E6" s="1" t="s">
        <v>15</v>
      </c>
      <c r="F6" s="1" t="s">
        <v>16</v>
      </c>
      <c r="G6" s="1">
        <v>2021</v>
      </c>
      <c r="H6" s="1">
        <v>145307703.322374</v>
      </c>
      <c r="I6" s="1">
        <v>167448323.813093</v>
      </c>
      <c r="J6" s="1">
        <v>125889573.356271</v>
      </c>
      <c r="K6" s="1">
        <f t="shared" si="0"/>
        <v>145307703.32</v>
      </c>
      <c r="L6" t="s">
        <v>20</v>
      </c>
      <c r="M6">
        <f t="shared" si="1"/>
        <v>125889573.36</v>
      </c>
      <c r="N6" t="s">
        <v>21</v>
      </c>
      <c r="O6">
        <f t="shared" si="2"/>
        <v>167448323.81</v>
      </c>
      <c r="P6" t="s">
        <v>22</v>
      </c>
      <c r="Q6" t="str">
        <f t="shared" si="3"/>
        <v>145307703.32（125889573.36,167448323.81)</v>
      </c>
    </row>
    <row r="7" s="1" customFormat="1" spans="1:17">
      <c r="A7" s="1" t="s">
        <v>269</v>
      </c>
      <c r="B7" s="1" t="s">
        <v>101</v>
      </c>
      <c r="C7" s="1" t="s">
        <v>662</v>
      </c>
      <c r="D7" s="1" t="s">
        <v>14</v>
      </c>
      <c r="E7" s="1" t="s">
        <v>15</v>
      </c>
      <c r="F7" s="1" t="s">
        <v>16</v>
      </c>
      <c r="G7" s="1">
        <v>2021</v>
      </c>
      <c r="H7" s="1">
        <v>108968564.529692</v>
      </c>
      <c r="I7" s="1">
        <v>127385889.969361</v>
      </c>
      <c r="J7" s="1">
        <v>95254725.7047351</v>
      </c>
      <c r="K7" s="1">
        <f t="shared" si="0"/>
        <v>108968564.53</v>
      </c>
      <c r="L7" t="s">
        <v>20</v>
      </c>
      <c r="M7">
        <f t="shared" si="1"/>
        <v>95254725.7</v>
      </c>
      <c r="N7" t="s">
        <v>21</v>
      </c>
      <c r="O7">
        <f t="shared" si="2"/>
        <v>127385889.97</v>
      </c>
      <c r="P7" t="s">
        <v>22</v>
      </c>
      <c r="Q7" t="str">
        <f t="shared" si="3"/>
        <v>108968564.53（95254725.7,127385889.97)</v>
      </c>
    </row>
    <row r="8" spans="1:17">
      <c r="A8" s="1" t="s">
        <v>269</v>
      </c>
      <c r="B8" s="1" t="s">
        <v>101</v>
      </c>
      <c r="C8" s="1" t="s">
        <v>661</v>
      </c>
      <c r="D8" s="1" t="s">
        <v>27</v>
      </c>
      <c r="E8" s="1" t="s">
        <v>15</v>
      </c>
      <c r="F8" s="1" t="s">
        <v>23</v>
      </c>
      <c r="G8" s="1">
        <v>2021</v>
      </c>
      <c r="H8" s="1">
        <v>3610.23918797174</v>
      </c>
      <c r="I8" s="1">
        <v>4164.95359657455</v>
      </c>
      <c r="J8" s="1">
        <v>3153.05157498468</v>
      </c>
      <c r="K8" s="1">
        <f t="shared" si="0"/>
        <v>3610.24</v>
      </c>
      <c r="L8" t="s">
        <v>20</v>
      </c>
      <c r="M8">
        <f t="shared" si="1"/>
        <v>3153.05</v>
      </c>
      <c r="N8" t="s">
        <v>21</v>
      </c>
      <c r="O8">
        <f t="shared" si="2"/>
        <v>4164.95</v>
      </c>
      <c r="P8" t="s">
        <v>22</v>
      </c>
      <c r="Q8" t="str">
        <f t="shared" si="3"/>
        <v>3610.24（3153.05,4164.95)</v>
      </c>
    </row>
    <row r="9" spans="1:17">
      <c r="A9" s="1" t="s">
        <v>269</v>
      </c>
      <c r="B9" s="1" t="s">
        <v>101</v>
      </c>
      <c r="C9" s="1" t="s">
        <v>662</v>
      </c>
      <c r="D9" s="1" t="s">
        <v>27</v>
      </c>
      <c r="E9" s="1" t="s">
        <v>15</v>
      </c>
      <c r="F9" s="1" t="s">
        <v>23</v>
      </c>
      <c r="G9" s="1">
        <v>2021</v>
      </c>
      <c r="H9" s="1">
        <v>2357.60897647365</v>
      </c>
      <c r="I9" s="1">
        <v>2751.94862655919</v>
      </c>
      <c r="J9" s="1">
        <v>2063.31028113707</v>
      </c>
      <c r="K9" s="1">
        <f t="shared" si="0"/>
        <v>2357.61</v>
      </c>
      <c r="L9" t="s">
        <v>20</v>
      </c>
      <c r="M9">
        <f t="shared" si="1"/>
        <v>2063.31</v>
      </c>
      <c r="N9" t="s">
        <v>21</v>
      </c>
      <c r="O9">
        <f t="shared" si="2"/>
        <v>2751.95</v>
      </c>
      <c r="P9" t="s">
        <v>22</v>
      </c>
      <c r="Q9" t="str">
        <f t="shared" si="3"/>
        <v>2357.61（2063.31,2751.95)</v>
      </c>
    </row>
    <row r="10" s="1" customFormat="1" spans="1:17">
      <c r="A10" s="1" t="s">
        <v>11</v>
      </c>
      <c r="B10" s="1" t="s">
        <v>101</v>
      </c>
      <c r="C10" s="1" t="s">
        <v>661</v>
      </c>
      <c r="D10" s="1" t="s">
        <v>14</v>
      </c>
      <c r="E10" s="1" t="s">
        <v>15</v>
      </c>
      <c r="F10" s="1" t="s">
        <v>16</v>
      </c>
      <c r="G10" s="1">
        <v>2021</v>
      </c>
      <c r="H10" s="1">
        <v>5002681.10135802</v>
      </c>
      <c r="I10" s="1">
        <v>5336245.43557103</v>
      </c>
      <c r="J10" s="1">
        <v>4679269.08176858</v>
      </c>
      <c r="K10" s="1">
        <f t="shared" si="0"/>
        <v>5002681.1</v>
      </c>
      <c r="L10" t="s">
        <v>20</v>
      </c>
      <c r="M10">
        <f t="shared" si="1"/>
        <v>4679269.08</v>
      </c>
      <c r="N10" t="s">
        <v>21</v>
      </c>
      <c r="O10">
        <f t="shared" si="2"/>
        <v>5336245.44</v>
      </c>
      <c r="P10" t="s">
        <v>22</v>
      </c>
      <c r="Q10" t="str">
        <f t="shared" si="3"/>
        <v>5002681.1（4679269.08,5336245.44)</v>
      </c>
    </row>
    <row r="11" s="1" customFormat="1" spans="1:17">
      <c r="A11" s="1" t="s">
        <v>11</v>
      </c>
      <c r="B11" s="1" t="s">
        <v>101</v>
      </c>
      <c r="C11" s="1" t="s">
        <v>662</v>
      </c>
      <c r="D11" s="1" t="s">
        <v>14</v>
      </c>
      <c r="E11" s="1" t="s">
        <v>15</v>
      </c>
      <c r="F11" s="1" t="s">
        <v>16</v>
      </c>
      <c r="G11" s="1">
        <v>2021</v>
      </c>
      <c r="H11" s="1">
        <v>3988955.58228414</v>
      </c>
      <c r="I11" s="1">
        <v>4317969.42755784</v>
      </c>
      <c r="J11" s="1">
        <v>3540381.4906516</v>
      </c>
      <c r="K11" s="1">
        <f t="shared" si="0"/>
        <v>3988955.58</v>
      </c>
      <c r="L11" t="s">
        <v>20</v>
      </c>
      <c r="M11">
        <f t="shared" si="1"/>
        <v>3540381.49</v>
      </c>
      <c r="N11" t="s">
        <v>21</v>
      </c>
      <c r="O11">
        <f t="shared" si="2"/>
        <v>4317969.43</v>
      </c>
      <c r="P11" t="s">
        <v>22</v>
      </c>
      <c r="Q11" t="str">
        <f t="shared" si="3"/>
        <v>3988955.58（3540381.49,4317969.43)</v>
      </c>
    </row>
    <row r="12" s="1" customFormat="1" spans="1:17">
      <c r="A12" s="1" t="s">
        <v>11</v>
      </c>
      <c r="B12" s="1" t="s">
        <v>101</v>
      </c>
      <c r="C12" s="1" t="s">
        <v>661</v>
      </c>
      <c r="D12" s="1" t="s">
        <v>27</v>
      </c>
      <c r="E12" s="1" t="s">
        <v>15</v>
      </c>
      <c r="F12" s="1" t="s">
        <v>23</v>
      </c>
      <c r="G12" s="1">
        <v>2021</v>
      </c>
      <c r="H12" s="1">
        <v>136.837405523671</v>
      </c>
      <c r="I12" s="1">
        <v>145.903089829988</v>
      </c>
      <c r="J12" s="1">
        <v>127.367297960425</v>
      </c>
      <c r="K12" s="1">
        <f t="shared" si="0"/>
        <v>136.84</v>
      </c>
      <c r="L12" t="s">
        <v>20</v>
      </c>
      <c r="M12">
        <f t="shared" si="1"/>
        <v>127.37</v>
      </c>
      <c r="N12" t="s">
        <v>21</v>
      </c>
      <c r="O12">
        <f t="shared" si="2"/>
        <v>145.9</v>
      </c>
      <c r="P12" t="s">
        <v>22</v>
      </c>
      <c r="Q12" t="str">
        <f t="shared" si="3"/>
        <v>136.84（127.37,145.9)</v>
      </c>
    </row>
    <row r="13" s="1" customFormat="1" spans="1:17">
      <c r="A13" s="1" t="s">
        <v>11</v>
      </c>
      <c r="B13" s="1" t="s">
        <v>101</v>
      </c>
      <c r="C13" s="1" t="s">
        <v>662</v>
      </c>
      <c r="D13" s="1" t="s">
        <v>27</v>
      </c>
      <c r="E13" s="1" t="s">
        <v>15</v>
      </c>
      <c r="F13" s="1" t="s">
        <v>23</v>
      </c>
      <c r="G13" s="1">
        <v>2021</v>
      </c>
      <c r="H13" s="1">
        <v>85.3181797331867</v>
      </c>
      <c r="I13" s="1">
        <v>92.3136149030367</v>
      </c>
      <c r="J13" s="1">
        <v>75.9043960915254</v>
      </c>
      <c r="K13" s="1">
        <f t="shared" si="0"/>
        <v>85.32</v>
      </c>
      <c r="L13" t="s">
        <v>20</v>
      </c>
      <c r="M13">
        <f t="shared" si="1"/>
        <v>75.9</v>
      </c>
      <c r="N13" t="s">
        <v>21</v>
      </c>
      <c r="O13">
        <f t="shared" si="2"/>
        <v>92.31</v>
      </c>
      <c r="P13" t="s">
        <v>22</v>
      </c>
      <c r="Q13" t="str">
        <f t="shared" si="3"/>
        <v>85.32（75.9,92.31)</v>
      </c>
    </row>
    <row r="14" s="1" customFormat="1" spans="1:17">
      <c r="A14" s="1" t="s">
        <v>151</v>
      </c>
      <c r="B14" s="1" t="s">
        <v>101</v>
      </c>
      <c r="C14" s="1" t="s">
        <v>661</v>
      </c>
      <c r="D14" s="1" t="s">
        <v>14</v>
      </c>
      <c r="E14" s="1" t="s">
        <v>15</v>
      </c>
      <c r="F14" s="1" t="s">
        <v>16</v>
      </c>
      <c r="G14" s="1">
        <v>2021</v>
      </c>
      <c r="H14" s="1">
        <v>114982353.808416</v>
      </c>
      <c r="I14" s="1">
        <v>123113032.679285</v>
      </c>
      <c r="J14" s="1">
        <v>107837252.64967</v>
      </c>
      <c r="K14" s="1">
        <f t="shared" si="0"/>
        <v>114982353.81</v>
      </c>
      <c r="L14" t="s">
        <v>20</v>
      </c>
      <c r="M14">
        <f t="shared" si="1"/>
        <v>107837252.65</v>
      </c>
      <c r="N14" t="s">
        <v>21</v>
      </c>
      <c r="O14">
        <f t="shared" si="2"/>
        <v>123113032.68</v>
      </c>
      <c r="P14" t="s">
        <v>22</v>
      </c>
      <c r="Q14" t="str">
        <f t="shared" si="3"/>
        <v>114982353.81（107837252.65,123113032.68)</v>
      </c>
    </row>
    <row r="15" s="1" customFormat="1" spans="1:17">
      <c r="A15" s="1" t="s">
        <v>151</v>
      </c>
      <c r="B15" s="1" t="s">
        <v>101</v>
      </c>
      <c r="C15" s="1" t="s">
        <v>662</v>
      </c>
      <c r="D15" s="1" t="s">
        <v>14</v>
      </c>
      <c r="E15" s="1" t="s">
        <v>15</v>
      </c>
      <c r="F15" s="1" t="s">
        <v>16</v>
      </c>
      <c r="G15" s="1">
        <v>2021</v>
      </c>
      <c r="H15" s="1">
        <v>73378203.5142636</v>
      </c>
      <c r="I15" s="1">
        <v>78561320.2487598</v>
      </c>
      <c r="J15" s="1">
        <v>67274276.5447141</v>
      </c>
      <c r="K15" s="1">
        <f t="shared" si="0"/>
        <v>73378203.51</v>
      </c>
      <c r="L15" t="s">
        <v>20</v>
      </c>
      <c r="M15">
        <f t="shared" si="1"/>
        <v>67274276.54</v>
      </c>
      <c r="N15" t="s">
        <v>21</v>
      </c>
      <c r="O15">
        <f t="shared" si="2"/>
        <v>78561320.25</v>
      </c>
      <c r="P15" t="s">
        <v>22</v>
      </c>
      <c r="Q15" t="str">
        <f t="shared" si="3"/>
        <v>73378203.51（67274276.54,78561320.25)</v>
      </c>
    </row>
    <row r="16" s="1" customFormat="1" spans="1:17">
      <c r="A16" s="1" t="s">
        <v>151</v>
      </c>
      <c r="B16" s="1" t="s">
        <v>101</v>
      </c>
      <c r="C16" s="1" t="s">
        <v>661</v>
      </c>
      <c r="D16" s="1" t="s">
        <v>27</v>
      </c>
      <c r="E16" s="1" t="s">
        <v>15</v>
      </c>
      <c r="F16" s="1" t="s">
        <v>23</v>
      </c>
      <c r="G16" s="1">
        <v>2021</v>
      </c>
      <c r="H16" s="1">
        <v>2890.65341489836</v>
      </c>
      <c r="I16" s="1">
        <v>3091.32267407324</v>
      </c>
      <c r="J16" s="1">
        <v>2714.80608285143</v>
      </c>
      <c r="K16" s="1">
        <f t="shared" si="0"/>
        <v>2890.65</v>
      </c>
      <c r="L16" t="s">
        <v>20</v>
      </c>
      <c r="M16">
        <f t="shared" si="1"/>
        <v>2714.81</v>
      </c>
      <c r="N16" t="s">
        <v>21</v>
      </c>
      <c r="O16">
        <f t="shared" si="2"/>
        <v>3091.32</v>
      </c>
      <c r="P16" t="s">
        <v>22</v>
      </c>
      <c r="Q16" t="str">
        <f t="shared" si="3"/>
        <v>2890.65（2714.81,3091.32)</v>
      </c>
    </row>
    <row r="17" s="1" customFormat="1" spans="1:17">
      <c r="A17" s="1" t="s">
        <v>151</v>
      </c>
      <c r="B17" s="1" t="s">
        <v>101</v>
      </c>
      <c r="C17" s="1" t="s">
        <v>662</v>
      </c>
      <c r="D17" s="1" t="s">
        <v>27</v>
      </c>
      <c r="E17" s="1" t="s">
        <v>15</v>
      </c>
      <c r="F17" s="1" t="s">
        <v>23</v>
      </c>
      <c r="G17" s="1">
        <v>2021</v>
      </c>
      <c r="H17" s="1">
        <v>1596.13573019153</v>
      </c>
      <c r="I17" s="1">
        <v>1706.94665686391</v>
      </c>
      <c r="J17" s="1">
        <v>1463.97703374153</v>
      </c>
      <c r="K17" s="1">
        <f t="shared" si="0"/>
        <v>1596.14</v>
      </c>
      <c r="L17" t="s">
        <v>20</v>
      </c>
      <c r="M17">
        <f t="shared" si="1"/>
        <v>1463.98</v>
      </c>
      <c r="N17" t="s">
        <v>21</v>
      </c>
      <c r="O17">
        <f t="shared" si="2"/>
        <v>1706.95</v>
      </c>
      <c r="P17" t="s">
        <v>22</v>
      </c>
      <c r="Q17" t="str">
        <f t="shared" si="3"/>
        <v>1596.14（1463.98,1706.95)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O4" sqref="O4"/>
    </sheetView>
  </sheetViews>
  <sheetFormatPr defaultColWidth="8.72727272727273" defaultRowHeight="14"/>
  <cols>
    <col min="1" max="1" width="10.1818181818182" customWidth="1"/>
    <col min="5" max="5" width="0.327272727272727" customWidth="1"/>
    <col min="9" max="9" width="0.327272727272727" customWidth="1"/>
    <col min="13" max="13" width="0.327272727272727" customWidth="1"/>
  </cols>
  <sheetData>
    <row r="1" spans="1:15">
      <c r="A1" t="s">
        <v>1</v>
      </c>
      <c r="C1" t="s">
        <v>387</v>
      </c>
      <c r="G1" t="s">
        <v>269</v>
      </c>
      <c r="K1" t="s">
        <v>11</v>
      </c>
      <c r="O1" t="s">
        <v>663</v>
      </c>
    </row>
    <row r="2" spans="2:16">
      <c r="B2" t="s">
        <v>496</v>
      </c>
      <c r="C2" t="s">
        <v>497</v>
      </c>
      <c r="D2" t="s">
        <v>498</v>
      </c>
      <c r="F2" t="s">
        <v>496</v>
      </c>
      <c r="G2" t="s">
        <v>497</v>
      </c>
      <c r="H2" t="s">
        <v>498</v>
      </c>
      <c r="J2" t="s">
        <v>496</v>
      </c>
      <c r="K2" t="s">
        <v>497</v>
      </c>
      <c r="L2" t="s">
        <v>498</v>
      </c>
      <c r="N2" t="s">
        <v>496</v>
      </c>
      <c r="O2" t="s">
        <v>497</v>
      </c>
      <c r="P2" t="s">
        <v>498</v>
      </c>
    </row>
    <row r="3" spans="1:16">
      <c r="A3" t="s">
        <v>101</v>
      </c>
      <c r="B3" t="s">
        <v>499</v>
      </c>
      <c r="C3" t="s">
        <v>500</v>
      </c>
      <c r="D3" t="s">
        <v>501</v>
      </c>
      <c r="F3" t="s">
        <v>538</v>
      </c>
      <c r="G3" t="s">
        <v>539</v>
      </c>
      <c r="H3" t="s">
        <v>540</v>
      </c>
      <c r="J3" t="s">
        <v>577</v>
      </c>
      <c r="K3" t="s">
        <v>578</v>
      </c>
      <c r="L3" t="s">
        <v>579</v>
      </c>
      <c r="N3" t="s">
        <v>616</v>
      </c>
      <c r="O3" t="s">
        <v>617</v>
      </c>
      <c r="P3" t="s">
        <v>618</v>
      </c>
    </row>
    <row r="4" spans="1:16">
      <c r="A4" t="s">
        <v>661</v>
      </c>
      <c r="B4" t="s">
        <v>664</v>
      </c>
      <c r="C4" t="s">
        <v>665</v>
      </c>
      <c r="D4" t="s">
        <v>666</v>
      </c>
      <c r="F4" t="s">
        <v>667</v>
      </c>
      <c r="G4" t="s">
        <v>668</v>
      </c>
      <c r="H4" t="s">
        <v>669</v>
      </c>
      <c r="J4" t="s">
        <v>670</v>
      </c>
      <c r="K4" t="s">
        <v>671</v>
      </c>
      <c r="L4" t="s">
        <v>672</v>
      </c>
      <c r="N4" t="s">
        <v>673</v>
      </c>
      <c r="O4" t="s">
        <v>674</v>
      </c>
      <c r="P4" t="s">
        <v>675</v>
      </c>
    </row>
    <row r="5" spans="1:16">
      <c r="A5" t="s">
        <v>662</v>
      </c>
      <c r="B5" t="s">
        <v>676</v>
      </c>
      <c r="C5" t="s">
        <v>677</v>
      </c>
      <c r="D5" t="s">
        <v>678</v>
      </c>
      <c r="F5" t="s">
        <v>679</v>
      </c>
      <c r="G5" t="s">
        <v>680</v>
      </c>
      <c r="H5" t="s">
        <v>681</v>
      </c>
      <c r="J5" t="s">
        <v>682</v>
      </c>
      <c r="K5" t="s">
        <v>683</v>
      </c>
      <c r="L5" t="s">
        <v>684</v>
      </c>
      <c r="N5" t="s">
        <v>685</v>
      </c>
      <c r="O5" t="s">
        <v>686</v>
      </c>
      <c r="P5" t="s">
        <v>687</v>
      </c>
    </row>
    <row r="6" spans="1:16">
      <c r="A6" t="s">
        <v>31</v>
      </c>
      <c r="B6" t="s">
        <v>502</v>
      </c>
      <c r="C6" t="s">
        <v>503</v>
      </c>
      <c r="D6" t="s">
        <v>504</v>
      </c>
      <c r="F6" t="s">
        <v>541</v>
      </c>
      <c r="G6" t="s">
        <v>542</v>
      </c>
      <c r="H6" t="s">
        <v>543</v>
      </c>
      <c r="J6" t="s">
        <v>580</v>
      </c>
      <c r="K6" t="s">
        <v>581</v>
      </c>
      <c r="L6" t="s">
        <v>582</v>
      </c>
      <c r="N6" t="s">
        <v>619</v>
      </c>
      <c r="O6" t="s">
        <v>620</v>
      </c>
      <c r="P6" t="s">
        <v>621</v>
      </c>
    </row>
    <row r="7" spans="1:16">
      <c r="A7" t="s">
        <v>131</v>
      </c>
      <c r="B7" t="s">
        <v>505</v>
      </c>
      <c r="C7" t="s">
        <v>506</v>
      </c>
      <c r="D7" t="s">
        <v>507</v>
      </c>
      <c r="F7" t="s">
        <v>544</v>
      </c>
      <c r="G7" t="s">
        <v>545</v>
      </c>
      <c r="H7" t="s">
        <v>546</v>
      </c>
      <c r="J7" t="s">
        <v>583</v>
      </c>
      <c r="K7" t="s">
        <v>584</v>
      </c>
      <c r="L7" t="s">
        <v>585</v>
      </c>
      <c r="N7" t="s">
        <v>622</v>
      </c>
      <c r="O7" t="s">
        <v>623</v>
      </c>
      <c r="P7" t="s">
        <v>624</v>
      </c>
    </row>
    <row r="8" spans="1:16">
      <c r="A8" t="s">
        <v>71</v>
      </c>
      <c r="B8" t="s">
        <v>508</v>
      </c>
      <c r="C8" t="s">
        <v>509</v>
      </c>
      <c r="D8" t="s">
        <v>510</v>
      </c>
      <c r="F8" t="s">
        <v>547</v>
      </c>
      <c r="G8" t="s">
        <v>548</v>
      </c>
      <c r="H8" t="s">
        <v>549</v>
      </c>
      <c r="J8" t="s">
        <v>586</v>
      </c>
      <c r="K8" t="s">
        <v>587</v>
      </c>
      <c r="L8" t="s">
        <v>588</v>
      </c>
      <c r="N8" t="s">
        <v>625</v>
      </c>
      <c r="O8" t="s">
        <v>626</v>
      </c>
      <c r="P8" t="s">
        <v>627</v>
      </c>
    </row>
    <row r="9" spans="1:16">
      <c r="A9" t="s">
        <v>51</v>
      </c>
      <c r="B9" t="s">
        <v>511</v>
      </c>
      <c r="C9" t="s">
        <v>512</v>
      </c>
      <c r="D9" t="s">
        <v>513</v>
      </c>
      <c r="F9" t="s">
        <v>550</v>
      </c>
      <c r="G9" t="s">
        <v>551</v>
      </c>
      <c r="H9" t="s">
        <v>552</v>
      </c>
      <c r="J9" t="s">
        <v>589</v>
      </c>
      <c r="K9" t="s">
        <v>590</v>
      </c>
      <c r="L9" t="s">
        <v>591</v>
      </c>
      <c r="N9" t="s">
        <v>628</v>
      </c>
      <c r="O9" t="s">
        <v>629</v>
      </c>
      <c r="P9" t="s">
        <v>630</v>
      </c>
    </row>
    <row r="10" spans="1:16">
      <c r="A10" t="s">
        <v>61</v>
      </c>
      <c r="B10" t="s">
        <v>514</v>
      </c>
      <c r="C10" t="s">
        <v>515</v>
      </c>
      <c r="D10" t="s">
        <v>516</v>
      </c>
      <c r="F10" t="s">
        <v>553</v>
      </c>
      <c r="G10" t="s">
        <v>554</v>
      </c>
      <c r="H10" t="s">
        <v>555</v>
      </c>
      <c r="J10" t="s">
        <v>592</v>
      </c>
      <c r="K10" t="s">
        <v>593</v>
      </c>
      <c r="L10" t="s">
        <v>594</v>
      </c>
      <c r="N10" t="s">
        <v>631</v>
      </c>
      <c r="O10" t="s">
        <v>632</v>
      </c>
      <c r="P10" t="s">
        <v>633</v>
      </c>
    </row>
    <row r="11" spans="1:16">
      <c r="A11" t="s">
        <v>81</v>
      </c>
      <c r="B11" t="s">
        <v>517</v>
      </c>
      <c r="C11" t="s">
        <v>518</v>
      </c>
      <c r="D11" t="s">
        <v>519</v>
      </c>
      <c r="F11" t="s">
        <v>556</v>
      </c>
      <c r="G11" t="s">
        <v>557</v>
      </c>
      <c r="H11" t="s">
        <v>558</v>
      </c>
      <c r="J11" t="s">
        <v>595</v>
      </c>
      <c r="K11" t="s">
        <v>596</v>
      </c>
      <c r="L11" t="s">
        <v>597</v>
      </c>
      <c r="N11" t="s">
        <v>634</v>
      </c>
      <c r="O11" t="s">
        <v>635</v>
      </c>
      <c r="P11" t="s">
        <v>636</v>
      </c>
    </row>
    <row r="12" spans="1:16">
      <c r="A12" t="s">
        <v>12</v>
      </c>
      <c r="B12" t="s">
        <v>520</v>
      </c>
      <c r="C12" t="s">
        <v>521</v>
      </c>
      <c r="D12" t="s">
        <v>522</v>
      </c>
      <c r="F12" t="s">
        <v>559</v>
      </c>
      <c r="G12" t="s">
        <v>560</v>
      </c>
      <c r="H12" t="s">
        <v>561</v>
      </c>
      <c r="J12" t="s">
        <v>598</v>
      </c>
      <c r="K12" t="s">
        <v>599</v>
      </c>
      <c r="L12" t="s">
        <v>600</v>
      </c>
      <c r="N12" t="s">
        <v>637</v>
      </c>
      <c r="O12" t="s">
        <v>638</v>
      </c>
      <c r="P12" t="s">
        <v>639</v>
      </c>
    </row>
    <row r="13" spans="1:16">
      <c r="A13" t="s">
        <v>141</v>
      </c>
      <c r="B13" t="s">
        <v>523</v>
      </c>
      <c r="C13" t="s">
        <v>524</v>
      </c>
      <c r="D13" t="s">
        <v>525</v>
      </c>
      <c r="F13" t="s">
        <v>562</v>
      </c>
      <c r="G13" t="s">
        <v>563</v>
      </c>
      <c r="H13" t="s">
        <v>564</v>
      </c>
      <c r="J13" t="s">
        <v>601</v>
      </c>
      <c r="K13" t="s">
        <v>602</v>
      </c>
      <c r="L13" t="s">
        <v>603</v>
      </c>
      <c r="N13" t="s">
        <v>640</v>
      </c>
      <c r="O13" t="s">
        <v>641</v>
      </c>
      <c r="P13" t="s">
        <v>642</v>
      </c>
    </row>
    <row r="14" spans="1:16">
      <c r="A14" t="s">
        <v>41</v>
      </c>
      <c r="B14" t="s">
        <v>526</v>
      </c>
      <c r="C14" t="s">
        <v>527</v>
      </c>
      <c r="D14" t="s">
        <v>528</v>
      </c>
      <c r="F14" t="s">
        <v>565</v>
      </c>
      <c r="G14" t="s">
        <v>566</v>
      </c>
      <c r="H14" t="s">
        <v>567</v>
      </c>
      <c r="J14" t="s">
        <v>604</v>
      </c>
      <c r="K14" t="s">
        <v>605</v>
      </c>
      <c r="L14" t="s">
        <v>606</v>
      </c>
      <c r="N14" t="s">
        <v>643</v>
      </c>
      <c r="O14" t="s">
        <v>644</v>
      </c>
      <c r="P14" t="s">
        <v>645</v>
      </c>
    </row>
    <row r="15" spans="1:16">
      <c r="A15" t="s">
        <v>121</v>
      </c>
      <c r="B15" t="s">
        <v>529</v>
      </c>
      <c r="C15" t="s">
        <v>530</v>
      </c>
      <c r="D15" t="s">
        <v>531</v>
      </c>
      <c r="F15" t="s">
        <v>568</v>
      </c>
      <c r="G15" t="s">
        <v>569</v>
      </c>
      <c r="H15" t="s">
        <v>570</v>
      </c>
      <c r="J15" t="s">
        <v>607</v>
      </c>
      <c r="K15" t="s">
        <v>608</v>
      </c>
      <c r="L15" t="s">
        <v>609</v>
      </c>
      <c r="N15" t="s">
        <v>646</v>
      </c>
      <c r="O15" t="s">
        <v>647</v>
      </c>
      <c r="P15" t="s">
        <v>648</v>
      </c>
    </row>
    <row r="16" spans="1:16">
      <c r="A16" t="s">
        <v>91</v>
      </c>
      <c r="B16" t="s">
        <v>532</v>
      </c>
      <c r="C16" t="s">
        <v>533</v>
      </c>
      <c r="D16" t="s">
        <v>534</v>
      </c>
      <c r="F16" t="s">
        <v>571</v>
      </c>
      <c r="G16" t="s">
        <v>572</v>
      </c>
      <c r="H16" t="s">
        <v>573</v>
      </c>
      <c r="J16" t="s">
        <v>610</v>
      </c>
      <c r="K16" t="s">
        <v>611</v>
      </c>
      <c r="L16" t="s">
        <v>612</v>
      </c>
      <c r="N16" t="s">
        <v>649</v>
      </c>
      <c r="O16" t="s">
        <v>650</v>
      </c>
      <c r="P16" t="s">
        <v>651</v>
      </c>
    </row>
    <row r="17" spans="1:16">
      <c r="A17" t="s">
        <v>111</v>
      </c>
      <c r="B17" t="s">
        <v>535</v>
      </c>
      <c r="C17" t="s">
        <v>536</v>
      </c>
      <c r="D17" t="s">
        <v>537</v>
      </c>
      <c r="F17" t="s">
        <v>574</v>
      </c>
      <c r="G17" t="s">
        <v>575</v>
      </c>
      <c r="H17" t="s">
        <v>576</v>
      </c>
      <c r="J17" t="s">
        <v>613</v>
      </c>
      <c r="K17" t="s">
        <v>614</v>
      </c>
      <c r="L17" t="s">
        <v>615</v>
      </c>
      <c r="N17" t="s">
        <v>652</v>
      </c>
      <c r="O17" t="s">
        <v>653</v>
      </c>
      <c r="P17" t="s">
        <v>654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Table数据</vt:lpstr>
      <vt:lpstr>Incidence</vt:lpstr>
      <vt:lpstr>Prevalence</vt:lpstr>
      <vt:lpstr>Deaths</vt:lpstr>
      <vt:lpstr>DALYs</vt:lpstr>
      <vt:lpstr>性别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沧桑轮回</cp:lastModifiedBy>
  <dcterms:created xsi:type="dcterms:W3CDTF">2025-07-28T03:19:00Z</dcterms:created>
  <dcterms:modified xsi:type="dcterms:W3CDTF">2025-09-18T11:02:30Z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97A00D707DCA4554A6787739D1055295_13</vt:lpwstr>
  </property>
  <property fmtid="{D5CDD505-2E9C-101B-9397-08002B2CF9AE}" pid="3" name="KSOProductBuildVer">
    <vt:lpwstr>2052-12.1.0.22529</vt:lpwstr>
  </property>
</Properties>
</file>